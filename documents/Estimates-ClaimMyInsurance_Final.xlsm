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manjeetrana\Downloads\"/>
    </mc:Choice>
  </mc:AlternateContent>
  <xr:revisionPtr revIDLastSave="0" documentId="13_ncr:1_{76C68FC6-9A0B-4EBA-A799-DB66B7F63735}" xr6:coauthVersionLast="47" xr6:coauthVersionMax="47" xr10:uidLastSave="{00000000-0000-0000-0000-000000000000}"/>
  <workbookProtection workbookAlgorithmName="SHA-512" workbookHashValue="wzFoNzfVdL4Dmi+OGf0QVZyL3cjNKyvkR4xrmj9yq6Nei1SEI13Qf7QZ6Sk+CuW13o41oCxG+H2FZpbHK7JX0Q==" workbookSaltValue="28P0ZPqQNJMHt9isURrkZA==" workbookSpinCount="100000" lockStructure="1"/>
  <bookViews>
    <workbookView xWindow="-110" yWindow="-110" windowWidth="19420" windowHeight="11500" tabRatio="340" firstSheet="1" activeTab="1" xr2:uid="{00000000-000D-0000-FFFF-FFFF00000000}"/>
  </bookViews>
  <sheets>
    <sheet name="Lists" sheetId="1" state="hidden" r:id="rId1"/>
    <sheet name="Estimation" sheetId="2" r:id="rId2"/>
    <sheet name="Schedule" sheetId="3" r:id="rId3"/>
    <sheet name="RoughWork" sheetId="4" r:id="rId4"/>
    <sheet name="Help" sheetId="5" r:id="rId5"/>
    <sheet name="FAQs" sheetId="6" r:id="rId6"/>
  </sheets>
  <functionGroups builtInGroupCount="19"/>
  <definedNames>
    <definedName name="ACTIVITY_RANGE">Estimation!$594:$594</definedName>
    <definedName name="AS_DEV_EFFORT">Estimation!$P$484</definedName>
    <definedName name="AS_DURATION_EFFORT">Estimation!$P$485</definedName>
    <definedName name="AS_MANUAL_DURATION_EFFORT">Estimation!$U$486</definedName>
    <definedName name="AUTOMATED_END_DATE">Estimation!$P$460</definedName>
    <definedName name="BUFFER_TYPES_LIST">Lists!$B$45:$B$48</definedName>
    <definedName name="BUFFERS_BY_TYPE">Estimation!$N$519:$O$521</definedName>
    <definedName name="CHOSEN_CURRENCY">Estimation!$O$478</definedName>
    <definedName name="CLIENT_NAME">Estimation!$O$471</definedName>
    <definedName name="COMPACT_WBS">Estimation!$L$10:$T$362</definedName>
    <definedName name="COPY_TYPE">Estimation!$R$9</definedName>
    <definedName name="CURRENCIES_LIST">Lists!$B$27:$B$29</definedName>
    <definedName name="CUSTOM_PERCENT">Estimation!$T$5</definedName>
    <definedName name="DESIGN_COST">Estimation!$W$446</definedName>
    <definedName name="DESIGN_EFFORT">Estimation!$O$446</definedName>
    <definedName name="DESIGN_RANGE">Estimation!$L$55:$AC$74</definedName>
    <definedName name="DESIGN_TA_COUNT">Estimation!$R$456</definedName>
    <definedName name="DESIGN_TA_PERCENT">Estimation!$R$446</definedName>
    <definedName name="DEV_COST">Estimation!$W$447</definedName>
    <definedName name="DEV_DEV_COUNT">Estimation!$T$457</definedName>
    <definedName name="DEV_DEV_PERCENT">Estimation!$T$447</definedName>
    <definedName name="DEV_EFFORT">Estimation!$O$447</definedName>
    <definedName name="DEV_RANGE">Estimation!$L$75:$AC$302</definedName>
    <definedName name="DURATION">Estimation!$P$461</definedName>
    <definedName name="EXTRA_FOR_H">Estimation!$O$506</definedName>
    <definedName name="EXTRAS_ARRAY">Estimation!$N$511:$O$516</definedName>
    <definedName name="EXTRAS_LIST">Estimation!$N$511:$N$516</definedName>
    <definedName name="FBS">Estimation!$L$364</definedName>
    <definedName name="FBS_FORMAT">Estimation!$S$369</definedName>
    <definedName name="FBS_INSERT_AT">Estimation!$M$434:$P$434</definedName>
    <definedName name="FBS_LINK">Estimation!$T$369</definedName>
    <definedName name="FBS_RANGE">Estimation!$M$370:$P$435</definedName>
    <definedName name="FULL_WBS">Estimation!$L$10:$AC$362</definedName>
    <definedName name="INCLUDE_OPTIONALS_LIST">Lists!$B$58:$B$59</definedName>
    <definedName name="IS_KEY_OPP">Estimation!$O$476</definedName>
    <definedName name="LESS_FOR_L">Estimation!$O$507</definedName>
    <definedName name="MANUAL_DURATION">Estimation!$P$462</definedName>
    <definedName name="MANUAL_END_DATE">Schedule!$L$1</definedName>
    <definedName name="MAX_EFFORT_PERCENT">Estimation!$P$481</definedName>
    <definedName name="MIN_EFFORT_PERCENT">Estimation!$O$481</definedName>
    <definedName name="MODULE_RANGE">Estimation!$598:$598</definedName>
    <definedName name="NOT_IN_COMPACT">Estimation!$O:$W</definedName>
    <definedName name="OTHER_COST">Estimation!$W$450</definedName>
    <definedName name="OTHER_EFFORT">Estimation!$O$450</definedName>
    <definedName name="OTHER_TL_COUNT">Estimation!$S$460</definedName>
    <definedName name="OTHER_TL_PERCENT">Estimation!$S$450</definedName>
    <definedName name="OTHERS_RANGE">Estimation!$L$355:$AC$361</definedName>
    <definedName name="PLATFORM">Estimation!$O$473</definedName>
    <definedName name="PLATFORMS_LIST">Lists!$B$38:$B$42</definedName>
    <definedName name="_xlnm.Print_Area" localSheetId="1">Estimation!$A$1:$AC$467</definedName>
    <definedName name="PROJECT_NAME">Estimation!$O$472</definedName>
    <definedName name="PROJECT_TYPE">Estimation!$O$474</definedName>
    <definedName name="PROJECT_TYPES_LIST">Lists!$B$32:$B$35</definedName>
    <definedName name="QA_COST">Estimation!$W$448</definedName>
    <definedName name="QA_EFFORT">Estimation!$O$448</definedName>
    <definedName name="QA_RANGE">Estimation!$L$303:$AC$331</definedName>
    <definedName name="REGIONS_LIST">Lists!$B$19:$B$24</definedName>
    <definedName name="REQ_BA_COUNT">Estimation!$Q$455</definedName>
    <definedName name="REQ_BA_PERCENT">Estimation!$Q$445</definedName>
    <definedName name="REQ_COST">Estimation!$W$445</definedName>
    <definedName name="REQ_EFFORT">Estimation!$O$445</definedName>
    <definedName name="REQ_RANGE">Estimation!$L$12:$AC$54</definedName>
    <definedName name="RFP_NAME">Estimation!$O$475</definedName>
    <definedName name="ROLES_LIST">Lists!$B$8:$B$16</definedName>
    <definedName name="SALES_CALL_SCALE_ARRAY">Lists!$B$51:$C$55</definedName>
    <definedName name="SALES_CALL_SCALE_LIST">Lists!$B$51:$B$55</definedName>
    <definedName name="SALES_DECISION_TABLE">Estimation!$P$511:$P$512</definedName>
    <definedName name="SECTION_RANGE">Estimation!$590:$596</definedName>
    <definedName name="START_DATE">Estimation!$O$455</definedName>
    <definedName name="TASK_RANGE">Estimation!$592:$595</definedName>
    <definedName name="TEMPLATE_NAME">Estimation!$G$3</definedName>
    <definedName name="TEMPLATE_SECTION">Estimation!$589:$599</definedName>
    <definedName name="TEMPLATE_VER">Estimation!$K$3</definedName>
    <definedName name="TESTING_QA_COUNT">Estimation!$U$458</definedName>
    <definedName name="TESTING_QA_PERCENT">Estimation!$U$448</definedName>
    <definedName name="TOTAL_COST">Estimation!$W$451</definedName>
    <definedName name="TOTAL_EFFORT">Estimation!$O$451</definedName>
    <definedName name="Total_FRs">Estimation!$Q$23</definedName>
    <definedName name="Total_Screens">Estimation!#REF!</definedName>
    <definedName name="Total_Test_Cases">Estimation!$P$315</definedName>
    <definedName name="Total_Use_Cases">Estimation!$P$43</definedName>
    <definedName name="TOTAL_WEEKS">Estimation!$P$451</definedName>
    <definedName name="UAT_COST">Estimation!$W$449</definedName>
    <definedName name="UAT_DEV_COUNT">Estimation!$T$459</definedName>
    <definedName name="UAT_DEV_PERCENT">Estimation!$T$449</definedName>
    <definedName name="UAT_EFFORT">Estimation!$O$449</definedName>
    <definedName name="UAT_RANGE">Estimation!$L$332:$AC$354</definedName>
    <definedName name="YES_NO_LIST">Lists!$B$3:$B$5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2" i="5"/>
  <c r="C4" i="3"/>
  <c r="D4" i="3" s="1"/>
  <c r="E4" i="3" s="1"/>
  <c r="F4" i="3" s="1"/>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K3" i="3"/>
  <c r="O3" i="3" s="1"/>
  <c r="S3" i="3" s="1"/>
  <c r="W3" i="3" s="1"/>
  <c r="AA3" i="3" s="1"/>
  <c r="AE3" i="3" s="1"/>
  <c r="AI3" i="3" s="1"/>
  <c r="G3" i="3"/>
  <c r="C1" i="3"/>
  <c r="C55" i="1"/>
  <c r="C54" i="1"/>
  <c r="C52" i="1"/>
  <c r="C51" i="1"/>
  <c r="AD598" i="2"/>
  <c r="Y594" i="2"/>
  <c r="AA594" i="2" s="1"/>
  <c r="S594" i="2" s="1"/>
  <c r="AD592" i="2"/>
  <c r="AD590" i="2"/>
  <c r="N521" i="2"/>
  <c r="N520" i="2"/>
  <c r="N519" i="2"/>
  <c r="AB468" i="2"/>
  <c r="T462" i="2"/>
  <c r="P462" i="2"/>
  <c r="N460" i="2"/>
  <c r="B11" i="3" s="1"/>
  <c r="M460" i="2"/>
  <c r="N459" i="2"/>
  <c r="B10" i="3" s="1"/>
  <c r="M459" i="2"/>
  <c r="N458" i="2"/>
  <c r="B9" i="3" s="1"/>
  <c r="M458" i="2"/>
  <c r="N457" i="2"/>
  <c r="B8" i="3" s="1"/>
  <c r="M457" i="2"/>
  <c r="N456" i="2"/>
  <c r="B7" i="3" s="1"/>
  <c r="M456" i="2"/>
  <c r="N455" i="2"/>
  <c r="B6" i="3" s="1"/>
  <c r="M455" i="2"/>
  <c r="N450" i="2"/>
  <c r="M450" i="2"/>
  <c r="B450" i="2"/>
  <c r="N449" i="2"/>
  <c r="M449" i="2"/>
  <c r="B449" i="2"/>
  <c r="N448" i="2"/>
  <c r="M448" i="2"/>
  <c r="B448" i="2"/>
  <c r="N447" i="2"/>
  <c r="M447" i="2"/>
  <c r="B447" i="2"/>
  <c r="N446" i="2"/>
  <c r="M446" i="2"/>
  <c r="B446" i="2"/>
  <c r="N445" i="2"/>
  <c r="M445" i="2"/>
  <c r="B445" i="2"/>
  <c r="W443" i="2"/>
  <c r="V443" i="2"/>
  <c r="U443" i="2"/>
  <c r="T443" i="2"/>
  <c r="S443" i="2"/>
  <c r="R443" i="2"/>
  <c r="Q443" i="2"/>
  <c r="P369" i="2"/>
  <c r="AD357" i="2"/>
  <c r="Y352" i="2"/>
  <c r="AA352" i="2" s="1"/>
  <c r="S352" i="2" s="1"/>
  <c r="AD352" i="2" s="1"/>
  <c r="Y351" i="2"/>
  <c r="AA351" i="2" s="1"/>
  <c r="S351" i="2" s="1"/>
  <c r="AD351" i="2" s="1"/>
  <c r="Y350" i="2"/>
  <c r="AA350" i="2" s="1"/>
  <c r="S350" i="2" s="1"/>
  <c r="AD350" i="2" s="1"/>
  <c r="Y349" i="2"/>
  <c r="AA349" i="2" s="1"/>
  <c r="S349" i="2" s="1"/>
  <c r="AD347" i="2"/>
  <c r="Y345" i="2"/>
  <c r="AA345" i="2" s="1"/>
  <c r="S345" i="2" s="1"/>
  <c r="AD343" i="2"/>
  <c r="Y341" i="2"/>
  <c r="AA341" i="2" s="1"/>
  <c r="S341" i="2" s="1"/>
  <c r="AD341" i="2" s="1"/>
  <c r="AD339" i="2"/>
  <c r="Y337" i="2"/>
  <c r="AA337" i="2" s="1"/>
  <c r="Y336" i="2"/>
  <c r="AA336" i="2" s="1"/>
  <c r="AD334" i="2"/>
  <c r="Y329" i="2"/>
  <c r="AA329" i="2" s="1"/>
  <c r="Y326" i="2"/>
  <c r="AA326" i="2" s="1"/>
  <c r="S326" i="2" s="1"/>
  <c r="AD324" i="2"/>
  <c r="Y321" i="2"/>
  <c r="AA321" i="2" s="1"/>
  <c r="S321" i="2"/>
  <c r="AD319" i="2"/>
  <c r="Y317" i="2"/>
  <c r="AA317" i="2" s="1"/>
  <c r="S317" i="2" s="1"/>
  <c r="AD317" i="2" s="1"/>
  <c r="Y314" i="2"/>
  <c r="AA314" i="2" s="1"/>
  <c r="AD312" i="2"/>
  <c r="AD311" i="2"/>
  <c r="Y308" i="2"/>
  <c r="AA308" i="2" s="1"/>
  <c r="AD306" i="2"/>
  <c r="AD305" i="2"/>
  <c r="Y300" i="2"/>
  <c r="AA300" i="2" s="1"/>
  <c r="Y299" i="2"/>
  <c r="AA299" i="2" s="1"/>
  <c r="S299" i="2" s="1"/>
  <c r="AD297" i="2"/>
  <c r="AD296" i="2"/>
  <c r="Y294" i="2"/>
  <c r="AA294" i="2" s="1"/>
  <c r="S294" i="2" s="1"/>
  <c r="AD292" i="2"/>
  <c r="Y290" i="2"/>
  <c r="AA290" i="2" s="1"/>
  <c r="S290" i="2" s="1"/>
  <c r="AD288" i="2"/>
  <c r="AD287" i="2"/>
  <c r="Y285" i="2"/>
  <c r="AA285" i="2" s="1"/>
  <c r="AD283" i="2"/>
  <c r="Y281" i="2"/>
  <c r="AA281" i="2" s="1"/>
  <c r="S281" i="2"/>
  <c r="AD279" i="2"/>
  <c r="Y277" i="2"/>
  <c r="AA277" i="2" s="1"/>
  <c r="S277" i="2" s="1"/>
  <c r="AD277" i="2" s="1"/>
  <c r="AD275" i="2"/>
  <c r="Y273" i="2"/>
  <c r="AA273" i="2" s="1"/>
  <c r="S273" i="2" s="1"/>
  <c r="T271" i="2" s="1"/>
  <c r="AD271" i="2"/>
  <c r="Y269" i="2"/>
  <c r="AA269" i="2" s="1"/>
  <c r="S269" i="2" s="1"/>
  <c r="AD267" i="2"/>
  <c r="AD266" i="2"/>
  <c r="Y264" i="2"/>
  <c r="AA264" i="2" s="1"/>
  <c r="AD262" i="2"/>
  <c r="Y260" i="2"/>
  <c r="AA260" i="2" s="1"/>
  <c r="S260" i="2" s="1"/>
  <c r="AD258" i="2"/>
  <c r="Y256" i="2"/>
  <c r="AA256" i="2" s="1"/>
  <c r="S256" i="2" s="1"/>
  <c r="AD254" i="2"/>
  <c r="Y252" i="2"/>
  <c r="AA252" i="2" s="1"/>
  <c r="AD250" i="2"/>
  <c r="Y248" i="2"/>
  <c r="AA248" i="2" s="1"/>
  <c r="AD246" i="2"/>
  <c r="Y244" i="2"/>
  <c r="AA244" i="2" s="1"/>
  <c r="AD242" i="2"/>
  <c r="AD241" i="2"/>
  <c r="Y239" i="2"/>
  <c r="AA239" i="2" s="1"/>
  <c r="S239" i="2"/>
  <c r="AD239" i="2" s="1"/>
  <c r="AD237" i="2"/>
  <c r="Y235" i="2"/>
  <c r="AA235" i="2" s="1"/>
  <c r="S235" i="2" s="1"/>
  <c r="AD235" i="2" s="1"/>
  <c r="AD233" i="2"/>
  <c r="Y231" i="2"/>
  <c r="AA231" i="2" s="1"/>
  <c r="S231" i="2" s="1"/>
  <c r="AD229" i="2"/>
  <c r="Y227" i="2"/>
  <c r="AA227" i="2" s="1"/>
  <c r="AD225" i="2"/>
  <c r="Y223" i="2"/>
  <c r="AA223" i="2" s="1"/>
  <c r="S223" i="2" s="1"/>
  <c r="AD221" i="2"/>
  <c r="Y219" i="2"/>
  <c r="AA219" i="2" s="1"/>
  <c r="S219" i="2"/>
  <c r="AD219" i="2" s="1"/>
  <c r="AD217" i="2"/>
  <c r="T217" i="2"/>
  <c r="AD216" i="2"/>
  <c r="Y214" i="2"/>
  <c r="AA214" i="2" s="1"/>
  <c r="AD212" i="2"/>
  <c r="Y210" i="2"/>
  <c r="AA210" i="2" s="1"/>
  <c r="AD208" i="2"/>
  <c r="Y206" i="2"/>
  <c r="AA206" i="2" s="1"/>
  <c r="AD204" i="2"/>
  <c r="Y202" i="2"/>
  <c r="AA202" i="2" s="1"/>
  <c r="S202" i="2"/>
  <c r="AD200" i="2"/>
  <c r="Y198" i="2"/>
  <c r="AA198" i="2" s="1"/>
  <c r="S198" i="2"/>
  <c r="AD196" i="2"/>
  <c r="Y194" i="2"/>
  <c r="AA194" i="2" s="1"/>
  <c r="S194" i="2" s="1"/>
  <c r="T192" i="2" s="1"/>
  <c r="AD192" i="2"/>
  <c r="AD191" i="2"/>
  <c r="Y189" i="2"/>
  <c r="AA189" i="2" s="1"/>
  <c r="AD187" i="2"/>
  <c r="Y185" i="2"/>
  <c r="AA185" i="2" s="1"/>
  <c r="AD183" i="2"/>
  <c r="Y181" i="2"/>
  <c r="AA181" i="2" s="1"/>
  <c r="S181" i="2" s="1"/>
  <c r="AD179" i="2"/>
  <c r="Y177" i="2"/>
  <c r="AA177" i="2" s="1"/>
  <c r="S177" i="2" s="1"/>
  <c r="AD177" i="2" s="1"/>
  <c r="AD175" i="2"/>
  <c r="Y173" i="2"/>
  <c r="AA173" i="2" s="1"/>
  <c r="S173" i="2" s="1"/>
  <c r="AD171" i="2"/>
  <c r="Y169" i="2"/>
  <c r="AA169" i="2" s="1"/>
  <c r="S169" i="2" s="1"/>
  <c r="AD169" i="2" s="1"/>
  <c r="AD167" i="2"/>
  <c r="AD166" i="2"/>
  <c r="Y164" i="2"/>
  <c r="AA164" i="2" s="1"/>
  <c r="AD162" i="2"/>
  <c r="Y160" i="2"/>
  <c r="AA160" i="2" s="1"/>
  <c r="S160" i="2" s="1"/>
  <c r="AD158" i="2"/>
  <c r="Y156" i="2"/>
  <c r="AA156" i="2" s="1"/>
  <c r="S156" i="2" s="1"/>
  <c r="AD154" i="2"/>
  <c r="Y152" i="2"/>
  <c r="AA152" i="2" s="1"/>
  <c r="S152" i="2"/>
  <c r="AD152" i="2" s="1"/>
  <c r="AD150" i="2"/>
  <c r="Y148" i="2"/>
  <c r="AA148" i="2" s="1"/>
  <c r="AD146" i="2"/>
  <c r="Y144" i="2"/>
  <c r="AA144" i="2" s="1"/>
  <c r="AD142" i="2"/>
  <c r="AD141" i="2"/>
  <c r="Y139" i="2"/>
  <c r="AA139" i="2" s="1"/>
  <c r="AD137" i="2"/>
  <c r="Y135" i="2"/>
  <c r="AA135" i="2" s="1"/>
  <c r="S135" i="2" s="1"/>
  <c r="AD133" i="2"/>
  <c r="Y131" i="2"/>
  <c r="AA131" i="2" s="1"/>
  <c r="S131" i="2" s="1"/>
  <c r="AD129" i="2"/>
  <c r="Y127" i="2"/>
  <c r="AA127" i="2" s="1"/>
  <c r="S127" i="2" s="1"/>
  <c r="AD125" i="2"/>
  <c r="Y123" i="2"/>
  <c r="AA123" i="2" s="1"/>
  <c r="AD121" i="2"/>
  <c r="Y119" i="2"/>
  <c r="AA119" i="2" s="1"/>
  <c r="AD117" i="2"/>
  <c r="AD116" i="2"/>
  <c r="Y114" i="2"/>
  <c r="AA114" i="2" s="1"/>
  <c r="AD112" i="2"/>
  <c r="Y110" i="2"/>
  <c r="AA110" i="2" s="1"/>
  <c r="S110" i="2"/>
  <c r="AD110" i="2" s="1"/>
  <c r="AD108" i="2"/>
  <c r="Y106" i="2"/>
  <c r="AA106" i="2" s="1"/>
  <c r="S106" i="2" s="1"/>
  <c r="AD104" i="2"/>
  <c r="Y102" i="2"/>
  <c r="AA102" i="2" s="1"/>
  <c r="S102" i="2" s="1"/>
  <c r="AD100" i="2"/>
  <c r="Y98" i="2"/>
  <c r="AA98" i="2" s="1"/>
  <c r="S98" i="2" s="1"/>
  <c r="AD96" i="2"/>
  <c r="Y94" i="2"/>
  <c r="AA94" i="2" s="1"/>
  <c r="S94" i="2" s="1"/>
  <c r="AD92" i="2"/>
  <c r="AD91" i="2"/>
  <c r="Y89" i="2"/>
  <c r="AA89" i="2" s="1"/>
  <c r="Y88" i="2"/>
  <c r="AA88" i="2" s="1"/>
  <c r="S88" i="2" s="1"/>
  <c r="AD88" i="2" s="1"/>
  <c r="Y87" i="2"/>
  <c r="AA87" i="2" s="1"/>
  <c r="S87" i="2" s="1"/>
  <c r="AD87" i="2" s="1"/>
  <c r="Y86" i="2"/>
  <c r="AA86" i="2" s="1"/>
  <c r="AD84" i="2"/>
  <c r="Y82" i="2"/>
  <c r="AA82" i="2" s="1"/>
  <c r="Y81" i="2"/>
  <c r="AA81" i="2" s="1"/>
  <c r="Y80" i="2"/>
  <c r="AA80" i="2" s="1"/>
  <c r="Y79" i="2"/>
  <c r="AA79" i="2" s="1"/>
  <c r="AD77" i="2"/>
  <c r="Y72" i="2"/>
  <c r="AA72" i="2" s="1"/>
  <c r="S72" i="2" s="1"/>
  <c r="AD72" i="2" s="1"/>
  <c r="Y71" i="2"/>
  <c r="AA71" i="2" s="1"/>
  <c r="S71" i="2" s="1"/>
  <c r="AD71" i="2" s="1"/>
  <c r="Y70" i="2"/>
  <c r="AA70" i="2" s="1"/>
  <c r="S70" i="2" s="1"/>
  <c r="AD70" i="2" s="1"/>
  <c r="Y69" i="2"/>
  <c r="AA69" i="2" s="1"/>
  <c r="AD67" i="2"/>
  <c r="Y65" i="2"/>
  <c r="AA65" i="2" s="1"/>
  <c r="S65" i="2" s="1"/>
  <c r="AD65" i="2" s="1"/>
  <c r="Y64" i="2"/>
  <c r="AA64" i="2" s="1"/>
  <c r="S64" i="2" s="1"/>
  <c r="AD64" i="2" s="1"/>
  <c r="Y63" i="2"/>
  <c r="AA63" i="2" s="1"/>
  <c r="S63" i="2" s="1"/>
  <c r="AD61" i="2"/>
  <c r="Y59" i="2"/>
  <c r="AA59" i="2" s="1"/>
  <c r="AD57" i="2"/>
  <c r="Y51" i="2"/>
  <c r="AA51" i="2" s="1"/>
  <c r="S51" i="2" s="1"/>
  <c r="AD51" i="2" s="1"/>
  <c r="Y50" i="2"/>
  <c r="AA50" i="2" s="1"/>
  <c r="S50" i="2" s="1"/>
  <c r="AD50" i="2" s="1"/>
  <c r="Y49" i="2"/>
  <c r="AA49" i="2" s="1"/>
  <c r="S49" i="2" s="1"/>
  <c r="AD47" i="2"/>
  <c r="Y45" i="2"/>
  <c r="AA45" i="2" s="1"/>
  <c r="S45" i="2"/>
  <c r="AD45" i="2" s="1"/>
  <c r="Y44" i="2"/>
  <c r="AA44" i="2" s="1"/>
  <c r="Q43" i="2"/>
  <c r="P43" i="2"/>
  <c r="Q315" i="2" s="1"/>
  <c r="AD41" i="2"/>
  <c r="Y39" i="2"/>
  <c r="AA39" i="2" s="1"/>
  <c r="S39" i="2" s="1"/>
  <c r="AD39" i="2" s="1"/>
  <c r="Y38" i="2"/>
  <c r="AA38" i="2" s="1"/>
  <c r="S38" i="2" s="1"/>
  <c r="AD38" i="2" s="1"/>
  <c r="Y37" i="2"/>
  <c r="AA37" i="2" s="1"/>
  <c r="S37" i="2" s="1"/>
  <c r="AD37" i="2" s="1"/>
  <c r="Y36" i="2"/>
  <c r="AA36" i="2" s="1"/>
  <c r="S36" i="2" s="1"/>
  <c r="AD36" i="2" s="1"/>
  <c r="Y35" i="2"/>
  <c r="AA35" i="2" s="1"/>
  <c r="S35" i="2" s="1"/>
  <c r="AD33" i="2"/>
  <c r="Y31" i="2"/>
  <c r="AA31" i="2" s="1"/>
  <c r="S31" i="2" s="1"/>
  <c r="AD31" i="2" s="1"/>
  <c r="Y30" i="2"/>
  <c r="AA30" i="2" s="1"/>
  <c r="S30" i="2" s="1"/>
  <c r="AD30" i="2" s="1"/>
  <c r="Y29" i="2"/>
  <c r="AA29" i="2" s="1"/>
  <c r="S29" i="2" s="1"/>
  <c r="Y28" i="2"/>
  <c r="AA28" i="2" s="1"/>
  <c r="S28" i="2" s="1"/>
  <c r="AD28" i="2" s="1"/>
  <c r="AD26" i="2"/>
  <c r="Y24" i="2"/>
  <c r="AA24" i="2" s="1"/>
  <c r="Y23" i="2"/>
  <c r="AA23" i="2" s="1"/>
  <c r="S23" i="2" s="1"/>
  <c r="AD23" i="2" s="1"/>
  <c r="Y22" i="2"/>
  <c r="AA22" i="2" s="1"/>
  <c r="AD20" i="2"/>
  <c r="Y17" i="2"/>
  <c r="AA17" i="2" s="1"/>
  <c r="Y16" i="2"/>
  <c r="AA16" i="2" s="1"/>
  <c r="AD14" i="2"/>
  <c r="N3" i="2"/>
  <c r="M3" i="2"/>
  <c r="S598" i="2"/>
  <c r="L14" i="2"/>
  <c r="T108" i="2" l="1"/>
  <c r="AD256" i="2"/>
  <c r="T254" i="2"/>
  <c r="S227" i="2"/>
  <c r="S24" i="2"/>
  <c r="AD24" i="2" s="1"/>
  <c r="S89" i="2"/>
  <c r="AD89" i="2" s="1"/>
  <c r="T233" i="2"/>
  <c r="S329" i="2"/>
  <c r="AD329" i="2" s="1"/>
  <c r="B443" i="2"/>
  <c r="S44" i="2"/>
  <c r="AD44" i="2" s="1"/>
  <c r="S69" i="2"/>
  <c r="AD69" i="2" s="1"/>
  <c r="S139" i="2"/>
  <c r="AD139" i="2" s="1"/>
  <c r="S214" i="2"/>
  <c r="AD214" i="2" s="1"/>
  <c r="S300" i="2"/>
  <c r="AD300" i="2" s="1"/>
  <c r="AD102" i="2"/>
  <c r="T100" i="2"/>
  <c r="T96" i="2"/>
  <c r="AD98" i="2"/>
  <c r="AD227" i="2"/>
  <c r="T225" i="2"/>
  <c r="S79" i="2"/>
  <c r="S114" i="2"/>
  <c r="AD114" i="2" s="1"/>
  <c r="S185" i="2"/>
  <c r="T183" i="2" s="1"/>
  <c r="S206" i="2"/>
  <c r="S264" i="2"/>
  <c r="S336" i="2"/>
  <c r="AD336" i="2" s="1"/>
  <c r="S16" i="2"/>
  <c r="AD16" i="2" s="1"/>
  <c r="S80" i="2"/>
  <c r="AD80" i="2" s="1"/>
  <c r="S164" i="2"/>
  <c r="S244" i="2"/>
  <c r="T242" i="2" s="1"/>
  <c r="S285" i="2"/>
  <c r="T283" i="2" s="1"/>
  <c r="S308" i="2"/>
  <c r="AD308" i="2" s="1"/>
  <c r="S337" i="2"/>
  <c r="AD337" i="2" s="1"/>
  <c r="S59" i="2"/>
  <c r="AD59" i="2" s="1"/>
  <c r="S81" i="2"/>
  <c r="AD81" i="2" s="1"/>
  <c r="S144" i="2"/>
  <c r="T142" i="2" s="1"/>
  <c r="S189" i="2"/>
  <c r="AD189" i="2" s="1"/>
  <c r="S210" i="2"/>
  <c r="T208" i="2" s="1"/>
  <c r="S17" i="2"/>
  <c r="AD17" i="2" s="1"/>
  <c r="S82" i="2"/>
  <c r="AD82" i="2" s="1"/>
  <c r="S119" i="2"/>
  <c r="T117" i="2" s="1"/>
  <c r="S248" i="2"/>
  <c r="T246" i="2" s="1"/>
  <c r="S148" i="2"/>
  <c r="T146" i="2" s="1"/>
  <c r="T167" i="2"/>
  <c r="S314" i="2"/>
  <c r="AD314" i="2" s="1"/>
  <c r="S22" i="2"/>
  <c r="AD22" i="2" s="1"/>
  <c r="S86" i="2"/>
  <c r="AD86" i="2" s="1"/>
  <c r="S123" i="2"/>
  <c r="T121" i="2" s="1"/>
  <c r="T150" i="2"/>
  <c r="S252" i="2"/>
  <c r="AD252" i="2" s="1"/>
  <c r="AD345" i="2"/>
  <c r="T343" i="2"/>
  <c r="AD206" i="2"/>
  <c r="T204" i="2"/>
  <c r="AD285" i="2"/>
  <c r="AD290" i="2"/>
  <c r="T288" i="2"/>
  <c r="T237" i="2"/>
  <c r="T275" i="2"/>
  <c r="Q316" i="2"/>
  <c r="Q52" i="2"/>
  <c r="Y52" i="2" s="1"/>
  <c r="AA52" i="2" s="1"/>
  <c r="S52" i="2" s="1"/>
  <c r="AD52" i="2" s="1"/>
  <c r="P316" i="2"/>
  <c r="L15" i="2"/>
  <c r="AD160" i="2"/>
  <c r="T158" i="2"/>
  <c r="AD63" i="2"/>
  <c r="T61" i="2"/>
  <c r="AD181" i="2"/>
  <c r="T179" i="2"/>
  <c r="T104" i="2"/>
  <c r="AD106" i="2"/>
  <c r="AD35" i="2"/>
  <c r="T33" i="2"/>
  <c r="AD244" i="2"/>
  <c r="T279" i="2"/>
  <c r="AD281" i="2"/>
  <c r="AD49" i="2"/>
  <c r="AD131" i="2"/>
  <c r="T129" i="2"/>
  <c r="T229" i="2"/>
  <c r="AD231" i="2"/>
  <c r="T292" i="2"/>
  <c r="AD294" i="2"/>
  <c r="T92" i="2"/>
  <c r="AD94" i="2"/>
  <c r="T133" i="2"/>
  <c r="AD135" i="2"/>
  <c r="T267" i="2"/>
  <c r="AD269" i="2"/>
  <c r="AD349" i="2"/>
  <c r="T347" i="2"/>
  <c r="T171" i="2"/>
  <c r="AD173" i="2"/>
  <c r="T592" i="2"/>
  <c r="S590" i="2" s="1"/>
  <c r="AD594" i="2"/>
  <c r="AD156" i="2"/>
  <c r="T154" i="2"/>
  <c r="T221" i="2"/>
  <c r="AD223" i="2"/>
  <c r="AD29" i="2"/>
  <c r="T26" i="2"/>
  <c r="AD194" i="2"/>
  <c r="T258" i="2"/>
  <c r="AD260" i="2"/>
  <c r="T196" i="2"/>
  <c r="AD198" i="2"/>
  <c r="AD273" i="2"/>
  <c r="AD202" i="2"/>
  <c r="T200" i="2"/>
  <c r="AD127" i="2"/>
  <c r="T125" i="2"/>
  <c r="T339" i="2"/>
  <c r="AD299" i="2"/>
  <c r="AD326" i="2"/>
  <c r="AD321" i="2"/>
  <c r="AD164" i="2"/>
  <c r="T162" i="2"/>
  <c r="T175" i="2"/>
  <c r="P315" i="2"/>
  <c r="Y43" i="2"/>
  <c r="AA43" i="2" s="1"/>
  <c r="S43" i="2" s="1"/>
  <c r="Q18" i="2"/>
  <c r="Y18" i="2" s="1"/>
  <c r="AA18" i="2" s="1"/>
  <c r="S18" i="2" s="1"/>
  <c r="AD18" i="2" s="1"/>
  <c r="Q309" i="2"/>
  <c r="Y309" i="2" s="1"/>
  <c r="AA309" i="2" s="1"/>
  <c r="S309" i="2" s="1"/>
  <c r="AD148" i="2"/>
  <c r="S287" i="2"/>
  <c r="S296" i="2"/>
  <c r="S266" i="2"/>
  <c r="S216" i="2"/>
  <c r="S141" i="2"/>
  <c r="S116" i="2"/>
  <c r="L20" i="2"/>
  <c r="AD248" i="2" l="1"/>
  <c r="AD119" i="2"/>
  <c r="T297" i="2"/>
  <c r="T250" i="2"/>
  <c r="T137" i="2"/>
  <c r="T57" i="2"/>
  <c r="AD185" i="2"/>
  <c r="AD144" i="2"/>
  <c r="T212" i="2"/>
  <c r="T84" i="2"/>
  <c r="AD123" i="2"/>
  <c r="T67" i="2"/>
  <c r="S55" i="2" s="1"/>
  <c r="O446" i="2" s="1"/>
  <c r="P446" i="2" s="1"/>
  <c r="AD210" i="2"/>
  <c r="AD264" i="2"/>
  <c r="T262" i="2"/>
  <c r="T77" i="2"/>
  <c r="T47" i="2"/>
  <c r="T187" i="2"/>
  <c r="T112" i="2"/>
  <c r="AD79" i="2"/>
  <c r="T20" i="2"/>
  <c r="T334" i="2"/>
  <c r="S332" i="2"/>
  <c r="O449" i="2" s="1"/>
  <c r="P449" i="2" s="1"/>
  <c r="Y316" i="2"/>
  <c r="AA316" i="2" s="1"/>
  <c r="S316" i="2" s="1"/>
  <c r="AD316" i="2" s="1"/>
  <c r="L21" i="2"/>
  <c r="T306" i="2"/>
  <c r="AD309" i="2"/>
  <c r="AD43" i="2"/>
  <c r="T41" i="2"/>
  <c r="Q328" i="2"/>
  <c r="Y328" i="2" s="1"/>
  <c r="AA328" i="2" s="1"/>
  <c r="S328" i="2" s="1"/>
  <c r="AD328" i="2" s="1"/>
  <c r="Q327" i="2"/>
  <c r="Y327" i="2" s="1"/>
  <c r="AA327" i="2" s="1"/>
  <c r="S327" i="2" s="1"/>
  <c r="Y315" i="2"/>
  <c r="AA315" i="2" s="1"/>
  <c r="S315" i="2" s="1"/>
  <c r="Q322" i="2"/>
  <c r="Y322" i="2" s="1"/>
  <c r="AA322" i="2" s="1"/>
  <c r="S322" i="2" s="1"/>
  <c r="T14" i="2"/>
  <c r="M16" i="2"/>
  <c r="M17" i="2" s="1"/>
  <c r="M18" i="2" s="1"/>
  <c r="S191" i="2"/>
  <c r="S305" i="2"/>
  <c r="S241" i="2"/>
  <c r="S166" i="2"/>
  <c r="S91" i="2"/>
  <c r="L26" i="2"/>
  <c r="S75" i="2" l="1"/>
  <c r="O447" i="2" s="1"/>
  <c r="W447" i="2" s="1"/>
  <c r="W449" i="2"/>
  <c r="W446" i="2"/>
  <c r="P447" i="2"/>
  <c r="L27" i="2"/>
  <c r="AD322" i="2"/>
  <c r="T319" i="2"/>
  <c r="AD327" i="2"/>
  <c r="T324" i="2"/>
  <c r="S12" i="2"/>
  <c r="O445" i="2" s="1"/>
  <c r="T312" i="2"/>
  <c r="S303" i="2" s="1"/>
  <c r="O448" i="2" s="1"/>
  <c r="AD315" i="2"/>
  <c r="M22" i="2"/>
  <c r="M23" i="2" s="1"/>
  <c r="M24" i="2" s="1"/>
  <c r="S311" i="2"/>
  <c r="L33" i="2"/>
  <c r="L34" i="2" l="1"/>
  <c r="W448" i="2"/>
  <c r="P448" i="2"/>
  <c r="X359" i="2"/>
  <c r="Y359" i="2" s="1"/>
  <c r="AA359" i="2" s="1"/>
  <c r="S359" i="2" s="1"/>
  <c r="W445" i="2"/>
  <c r="P445" i="2"/>
  <c r="M28" i="2"/>
  <c r="M29" i="2" s="1"/>
  <c r="M30" i="2" s="1"/>
  <c r="M31" i="2" s="1"/>
  <c r="L41" i="2"/>
  <c r="L42" i="2" l="1"/>
  <c r="P455" i="2"/>
  <c r="O456" i="2" s="1"/>
  <c r="AD359" i="2"/>
  <c r="T3" i="2" s="1"/>
  <c r="T357" i="2"/>
  <c r="S355" i="2" s="1"/>
  <c r="O450" i="2" s="1"/>
  <c r="M35" i="2"/>
  <c r="M36" i="2" s="1"/>
  <c r="M37" i="2" s="1"/>
  <c r="M38" i="2" s="1"/>
  <c r="M39" i="2" s="1"/>
  <c r="L47" i="2"/>
  <c r="L57" i="2"/>
  <c r="L58" i="2" l="1"/>
  <c r="L48" i="2"/>
  <c r="W450" i="2"/>
  <c r="W451" i="2" s="1"/>
  <c r="P436" i="2" s="1"/>
  <c r="P450" i="2"/>
  <c r="P451" i="2" s="1"/>
  <c r="O451" i="2"/>
  <c r="P456" i="2"/>
  <c r="O457" i="2" s="1"/>
  <c r="M43" i="2"/>
  <c r="M44" i="2" s="1"/>
  <c r="M45" i="2" s="1"/>
  <c r="L61" i="2"/>
  <c r="L77" i="2"/>
  <c r="L78" i="2" l="1"/>
  <c r="L62" i="2"/>
  <c r="P457" i="2"/>
  <c r="O458" i="2"/>
  <c r="M49" i="2"/>
  <c r="M50" i="2" s="1"/>
  <c r="M51" i="2" s="1"/>
  <c r="M52" i="2" s="1"/>
  <c r="N5" i="2"/>
  <c r="N480" i="2"/>
  <c r="S362" i="2"/>
  <c r="O436" i="2"/>
  <c r="M59" i="2"/>
  <c r="L67" i="2"/>
  <c r="L84" i="2"/>
  <c r="L85" i="2" l="1"/>
  <c r="L68" i="2"/>
  <c r="M63" i="2"/>
  <c r="M64" i="2" s="1"/>
  <c r="M65" i="2" s="1"/>
  <c r="P458" i="2"/>
  <c r="O459" i="2" s="1"/>
  <c r="M79" i="2"/>
  <c r="M80" i="2" s="1"/>
  <c r="M81" i="2" s="1"/>
  <c r="M82" i="2" s="1"/>
  <c r="L92" i="2"/>
  <c r="L93" i="2" l="1"/>
  <c r="P459" i="2"/>
  <c r="O460" i="2" s="1"/>
  <c r="P460" i="2" s="1"/>
  <c r="M69" i="2"/>
  <c r="M70" i="2" s="1"/>
  <c r="M71" i="2" s="1"/>
  <c r="M72" i="2" s="1"/>
  <c r="M86" i="2"/>
  <c r="M87" i="2" s="1"/>
  <c r="M88" i="2" s="1"/>
  <c r="M89" i="2" s="1"/>
  <c r="L96" i="2"/>
  <c r="L97" i="2" l="1"/>
  <c r="T461" i="2"/>
  <c r="P461" i="2"/>
  <c r="N6" i="2" s="1"/>
  <c r="M94" i="2"/>
  <c r="L100" i="2"/>
  <c r="L101" i="2" l="1"/>
  <c r="M98" i="2"/>
  <c r="L104" i="2"/>
  <c r="L105" i="2" l="1"/>
  <c r="M102" i="2"/>
  <c r="L108" i="2"/>
  <c r="L109" i="2" l="1"/>
  <c r="M106" i="2"/>
  <c r="L112" i="2"/>
  <c r="L113" i="2" l="1"/>
  <c r="M110" i="2"/>
  <c r="L117" i="2"/>
  <c r="L118" i="2" l="1"/>
  <c r="M114" i="2"/>
  <c r="L121" i="2"/>
  <c r="L122" i="2" l="1"/>
  <c r="M119" i="2"/>
  <c r="L125" i="2"/>
  <c r="L126" i="2" l="1"/>
  <c r="M123" i="2"/>
  <c r="L129" i="2"/>
  <c r="L130" i="2" l="1"/>
  <c r="M127" i="2"/>
  <c r="L133" i="2"/>
  <c r="L134" i="2" l="1"/>
  <c r="M131" i="2"/>
  <c r="L137" i="2"/>
  <c r="L138" i="2" l="1"/>
  <c r="M135" i="2"/>
  <c r="L142" i="2"/>
  <c r="L143" i="2" l="1"/>
  <c r="M139" i="2"/>
  <c r="L146" i="2"/>
  <c r="L147" i="2" l="1"/>
  <c r="M144" i="2"/>
  <c r="L150" i="2"/>
  <c r="L151" i="2" l="1"/>
  <c r="M148" i="2"/>
  <c r="L154" i="2"/>
  <c r="L155" i="2" l="1"/>
  <c r="M152" i="2"/>
  <c r="L158" i="2"/>
  <c r="L159" i="2" l="1"/>
  <c r="M156" i="2"/>
  <c r="L162" i="2"/>
  <c r="L163" i="2" l="1"/>
  <c r="M160" i="2"/>
  <c r="L167" i="2"/>
  <c r="L168" i="2" l="1"/>
  <c r="M164" i="2"/>
  <c r="L171" i="2"/>
  <c r="L172" i="2" l="1"/>
  <c r="M169" i="2"/>
  <c r="L175" i="2"/>
  <c r="L176" i="2" l="1"/>
  <c r="M173" i="2"/>
  <c r="L179" i="2"/>
  <c r="L180" i="2" l="1"/>
  <c r="M177" i="2"/>
  <c r="L183" i="2"/>
  <c r="L184" i="2" l="1"/>
  <c r="M181" i="2"/>
  <c r="L187" i="2"/>
  <c r="L188" i="2" l="1"/>
  <c r="M185" i="2"/>
  <c r="L192" i="2"/>
  <c r="L193" i="2" l="1"/>
  <c r="M189" i="2"/>
  <c r="L196" i="2"/>
  <c r="L197" i="2" l="1"/>
  <c r="M194" i="2"/>
  <c r="L200" i="2"/>
  <c r="L201" i="2" l="1"/>
  <c r="M198" i="2"/>
  <c r="L204" i="2"/>
  <c r="L205" i="2" l="1"/>
  <c r="M202" i="2"/>
  <c r="L208" i="2"/>
  <c r="L209" i="2" l="1"/>
  <c r="M206" i="2"/>
  <c r="L212" i="2"/>
  <c r="L213" i="2" l="1"/>
  <c r="M210" i="2"/>
  <c r="L217" i="2"/>
  <c r="L218" i="2" l="1"/>
  <c r="M214" i="2"/>
  <c r="L221" i="2"/>
  <c r="L222" i="2" l="1"/>
  <c r="M219" i="2"/>
  <c r="L225" i="2"/>
  <c r="L226" i="2" l="1"/>
  <c r="M223" i="2"/>
  <c r="L229" i="2"/>
  <c r="L230" i="2" l="1"/>
  <c r="M227" i="2"/>
  <c r="L233" i="2"/>
  <c r="L234" i="2" l="1"/>
  <c r="M231" i="2"/>
  <c r="L237" i="2"/>
  <c r="L238" i="2" l="1"/>
  <c r="M235" i="2"/>
  <c r="L242" i="2"/>
  <c r="L243" i="2" l="1"/>
  <c r="M239" i="2"/>
  <c r="L246" i="2"/>
  <c r="L247" i="2" l="1"/>
  <c r="M244" i="2"/>
  <c r="L250" i="2"/>
  <c r="L251" i="2" l="1"/>
  <c r="M248" i="2"/>
  <c r="L254" i="2"/>
  <c r="L255" i="2" l="1"/>
  <c r="M252" i="2"/>
  <c r="L258" i="2"/>
  <c r="L259" i="2" l="1"/>
  <c r="M256" i="2"/>
  <c r="L262" i="2"/>
  <c r="L263" i="2" l="1"/>
  <c r="M260" i="2"/>
  <c r="L267" i="2"/>
  <c r="L268" i="2" l="1"/>
  <c r="M264" i="2"/>
  <c r="L271" i="2"/>
  <c r="L272" i="2" l="1"/>
  <c r="M269" i="2"/>
  <c r="L275" i="2"/>
  <c r="L276" i="2" l="1"/>
  <c r="M273" i="2"/>
  <c r="L279" i="2"/>
  <c r="L280" i="2" l="1"/>
  <c r="M277" i="2"/>
  <c r="L283" i="2"/>
  <c r="L284" i="2" l="1"/>
  <c r="M281" i="2"/>
  <c r="L288" i="2"/>
  <c r="L289" i="2" l="1"/>
  <c r="M285" i="2"/>
  <c r="L292" i="2"/>
  <c r="L293" i="2" l="1"/>
  <c r="M290" i="2"/>
  <c r="L297" i="2"/>
  <c r="L306" i="2"/>
  <c r="L592" i="2"/>
  <c r="L593" i="2" l="1"/>
  <c r="M594" i="2" s="1"/>
  <c r="L307" i="2"/>
  <c r="L298" i="2"/>
  <c r="M299" i="2" s="1"/>
  <c r="M300" i="2" s="1"/>
  <c r="M294" i="2"/>
  <c r="L312" i="2"/>
  <c r="L313" i="2" l="1"/>
  <c r="M308" i="2"/>
  <c r="M309" i="2" s="1"/>
  <c r="L319" i="2"/>
  <c r="L320" i="2" l="1"/>
  <c r="M314" i="2"/>
  <c r="M315" i="2" s="1"/>
  <c r="M316" i="2" s="1"/>
  <c r="M317" i="2" s="1"/>
  <c r="L324" i="2"/>
  <c r="L334" i="2"/>
  <c r="L335" i="2" l="1"/>
  <c r="L325" i="2"/>
  <c r="M321" i="2"/>
  <c r="M322" i="2" s="1"/>
  <c r="L339" i="2"/>
  <c r="L340" i="2" l="1"/>
  <c r="M336" i="2"/>
  <c r="M337" i="2" s="1"/>
  <c r="M326" i="2"/>
  <c r="M327" i="2" s="1"/>
  <c r="M328" i="2" s="1"/>
  <c r="M329" i="2" s="1"/>
  <c r="L343" i="2"/>
  <c r="L344" i="2" l="1"/>
  <c r="M341" i="2"/>
  <c r="L347" i="2"/>
  <c r="L357" i="2"/>
  <c r="L358" i="2" l="1"/>
  <c r="M359" i="2" s="1"/>
  <c r="L348" i="2"/>
  <c r="M349" i="2" s="1"/>
  <c r="M350" i="2" s="1"/>
  <c r="M351" i="2" s="1"/>
  <c r="M352" i="2" s="1"/>
  <c r="M345" i="2"/>
</calcChain>
</file>

<file path=xl/sharedStrings.xml><?xml version="1.0" encoding="utf-8"?>
<sst xmlns="http://schemas.openxmlformats.org/spreadsheetml/2006/main" count="2119" uniqueCount="932">
  <si>
    <t>Choices &amp; Notes</t>
  </si>
  <si>
    <t>AG Estimation Template -  Version</t>
  </si>
  <si>
    <t>2.0.4</t>
  </si>
  <si>
    <t>Sales</t>
  </si>
  <si>
    <t>A/c Manager Name</t>
  </si>
  <si>
    <t>Last updated:</t>
  </si>
  <si>
    <t>Effort:</t>
  </si>
  <si>
    <t>No Change</t>
  </si>
  <si>
    <t>Presales</t>
  </si>
  <si>
    <t>Presales Member Name</t>
  </si>
  <si>
    <t>Effort estimates are based on high level of analysis and may change on detailed analysis.</t>
  </si>
  <si>
    <t>Last updated by:</t>
  </si>
  <si>
    <t>Manjeet Rana</t>
  </si>
  <si>
    <t>Optionals:</t>
  </si>
  <si>
    <t>Include</t>
  </si>
  <si>
    <t>AG</t>
  </si>
  <si>
    <t>TA Name</t>
  </si>
  <si>
    <t>Choices</t>
  </si>
  <si>
    <t>Copy Image:</t>
  </si>
  <si>
    <t>Compact</t>
  </si>
  <si>
    <t>Full</t>
  </si>
  <si>
    <t>Read Help for more details.</t>
  </si>
  <si>
    <t>W0</t>
  </si>
  <si>
    <t>→</t>
  </si>
  <si>
    <t>Mark as</t>
  </si>
  <si>
    <t>Add</t>
  </si>
  <si>
    <t>Unit</t>
  </si>
  <si>
    <t>Complexity %</t>
  </si>
  <si>
    <t>PDs / 1 M*</t>
  </si>
  <si>
    <t>W1</t>
  </si>
  <si>
    <t>←</t>
  </si>
  <si>
    <t>Optional</t>
  </si>
  <si>
    <t>Buffer</t>
  </si>
  <si>
    <t>Extras</t>
  </si>
  <si>
    <t>Exclude</t>
  </si>
  <si>
    <t>Notes</t>
  </si>
  <si>
    <t>Tasks</t>
  </si>
  <si>
    <t>RFP Mapping</t>
  </si>
  <si>
    <t>Name</t>
  </si>
  <si>
    <t>#</t>
  </si>
  <si>
    <t>x N</t>
  </si>
  <si>
    <t>Effort (PDs)</t>
  </si>
  <si>
    <t>H</t>
  </si>
  <si>
    <t>M*</t>
  </si>
  <si>
    <t>L</t>
  </si>
  <si>
    <t>Calculated</t>
  </si>
  <si>
    <t xml:space="preserve"> (+/-)</t>
  </si>
  <si>
    <t>w Extras</t>
  </si>
  <si>
    <t>Out of scope / Assumptions</t>
  </si>
  <si>
    <t>S1</t>
  </si>
  <si>
    <t>↑</t>
  </si>
  <si>
    <t>↓</t>
  </si>
  <si>
    <t>A</t>
  </si>
  <si>
    <t>Business Requirement Analysis</t>
  </si>
  <si>
    <t>S2</t>
  </si>
  <si>
    <t>T1</t>
  </si>
  <si>
    <t>Current Manual Process Study</t>
  </si>
  <si>
    <t>T2</t>
  </si>
  <si>
    <t>X</t>
  </si>
  <si>
    <t>-</t>
  </si>
  <si>
    <t>Low</t>
  </si>
  <si>
    <t>&gt;&gt; What is the current process.
&gt;&gt; How automation of claiming process can cater the bottle neck of current manual process of claiming.</t>
  </si>
  <si>
    <t>Understanding of current manual claims process
&gt;&gt; Identify bottlenecks: manual data entry, cheque payments, no tracking
&gt;&gt; Document pain points impacting 200M+ customers</t>
  </si>
  <si>
    <t>FR: Manual Claims Process - Pain Points Analysis</t>
  </si>
  <si>
    <t>Business process verification with YCompany stakeholders
&gt;&gt; Validate current workflows and manual touch points
&gt;&gt; Document gap between as-is and desired state</t>
  </si>
  <si>
    <t>FR: Process Verification &amp; Re-engineering Study</t>
  </si>
  <si>
    <t>Medium</t>
  </si>
  <si>
    <t>Stakeholder interviews across all user roles
&gt;&gt; Customer, Surveyor, Adjustor, Case Manager, Partner Workshop
&gt;&gt; Capture requirements and priorities per role</t>
  </si>
  <si>
    <t>FR1+FR2: Stakeholder Requirements - 200M+ Customers</t>
  </si>
  <si>
    <t>Based on Total Use Cases
(Filled automatically)</t>
  </si>
  <si>
    <t>T3</t>
  </si>
  <si>
    <t>Requirements Gathering</t>
  </si>
  <si>
    <t>Project kickoff and Agile planning
&gt;&gt; Team onboarding and role assignments
&gt;&gt; Sprint cadence setup and communication plan</t>
  </si>
  <si>
    <t>All FRs: Project Kickoff, Agile Planning, Team Setup</t>
  </si>
  <si>
    <t>Analysis of all six functional requirement areas
&gt;&gt; Customer portal, Incident management, 3rd party integrations
&gt;&gt; Reporting, Document management, Notifications</t>
  </si>
  <si>
    <t>FR1-FR6: All Functional Requirements Analysis</t>
  </si>
  <si>
    <t>&gt;&gt; Valid for re-engineering task only</t>
  </si>
  <si>
    <t>Claims process re-engineering: manual to digital
&gt;&gt; Map current (As-Is) vs proposed (To-Be) processes
&gt;&gt; Target: reduce claim TAT from 14+ days to 3 days</t>
  </si>
  <si>
    <t>FR: Claims Process Re-engineering (Manual → Digital)</t>
  </si>
  <si>
    <t>User Profiles &amp; Journeys</t>
  </si>
  <si>
    <t>Define user profiles for all six roles
&gt;&gt; Customer, Surveyor, Adjustor, Case Manager, Partner, Auditor</t>
  </si>
  <si>
    <t>FR1-FR4: User Profiles - Customer / Surveyor / Adjustor / Partner</t>
  </si>
  <si>
    <t>Create user personas with goals and pain points
&gt;&gt; Per role: motivations, workflows, key actions</t>
  </si>
  <si>
    <t>FR1: Customer Journey - Claim submission to settlement (7 Phases)</t>
  </si>
  <si>
    <t>Map end-to-end user journeys
&gt;&gt; Initial claim submission → Assessment → Approval → Repair → Payment → Closure
&gt;&gt; Identify handoff points between roles</t>
  </si>
  <si>
    <t>FR2: Incident Management Journey - Surveyor → Adjustor → Case Mgr</t>
  </si>
  <si>
    <t>Client presentation and sign-off on profiles and journeys</t>
  </si>
  <si>
    <t>All FRs: Client Sign-off - Requirements &amp; User Journeys</t>
  </si>
  <si>
    <t>Audit &amp; Compliance Review</t>
  </si>
  <si>
    <t>Yes</t>
  </si>
  <si>
    <t>Client may be suggested to perform such kind of analysis so that user experience can be enriched.</t>
  </si>
  <si>
    <t>Competitor Analysis</t>
  </si>
  <si>
    <t>FR: Competitor Analysis - Digital Claims Benchmarking</t>
  </si>
  <si>
    <t>User Observaions</t>
  </si>
  <si>
    <t>FR1: User Observation - Customer Pain Points (Manual Process)</t>
  </si>
  <si>
    <t>Expert Review</t>
  </si>
  <si>
    <t>FR: Expert Review - Insurance Domain SME</t>
  </si>
  <si>
    <t>Task Anaysis</t>
  </si>
  <si>
    <t>FR2: Task Analysis - Claims Adjustor, Surveyor, Case Manager</t>
  </si>
  <si>
    <t xml:space="preserve">Client Presentation, review and Sign-off
&gt;&gt; Review &amp; Analysis </t>
  </si>
  <si>
    <t>FR1+FR2: Client Presentation - Analysis Review &amp; Sign-off</t>
  </si>
  <si>
    <t>Requirements Documentation</t>
  </si>
  <si>
    <t>Software Requirements Specification (SRS)
&gt;&gt; Use cases with business rules, validations, and CRUD definitions
&gt;&gt; Wireframes for all portals; business process diagrams</t>
  </si>
  <si>
    <t>FR1-FR6: SRS - Use Cases, BPMN Diagrams, Business Rules, Wireframes</t>
  </si>
  <si>
    <t>Usability analysis for web portal and mobile app
&gt;&gt; Information architecture and accessibility review</t>
  </si>
  <si>
    <t>NFR2+NFR4: Usability Analysis - Web Portal + Mobile PWA</t>
  </si>
  <si>
    <t>Review and Sign-off
&gt;&gt; Client review iterations and sign-off on SRS and Mock-ups</t>
  </si>
  <si>
    <t>All: SRS &amp; Mock-up Review and Client Sign-off</t>
  </si>
  <si>
    <t>UI Prototyping &amp; Visual Design</t>
  </si>
  <si>
    <t>Create brand-consistent design template
&gt;&gt; UI component library and style guide
&gt;&gt; Responsive layout: desktop, tablet, mobile</t>
  </si>
  <si>
    <t>NFR4: Design Template - Nagarro Brand, TailwindCSS Design System</t>
  </si>
  <si>
    <t>UI mock-ups for all portals
&gt;&gt; Customer portal, Adjustor dashboard, Partner portal, Surveyor app</t>
  </si>
  <si>
    <t>FR1: Mock Ups - Customer Portal, Adjustor Dashboard, Partner Portal</t>
  </si>
  <si>
    <t>Usability Testing</t>
  </si>
  <si>
    <t>FR1+FR2: Usability Testing - Role-based Portals</t>
  </si>
  <si>
    <t>Final Revisions</t>
  </si>
  <si>
    <t>All: Final Design Revisions</t>
  </si>
  <si>
    <t>Considered 2% of overall use cases.</t>
  </si>
  <si>
    <t>S3</t>
  </si>
  <si>
    <t>B</t>
  </si>
  <si>
    <t>System Design &amp; Architecture</t>
  </si>
  <si>
    <t>Proof of Concept (POC)</t>
  </si>
  <si>
    <t>Proof of concept for key technical risks
&gt;&gt; Validate core technology choices before full development
&gt;&gt; Event-driven messaging and workflow engine integration</t>
  </si>
  <si>
    <t>NFR2+DR2: POC - Java 17 + Spring Boot 3.2 + Kafka + Camunda 8 + GKE</t>
  </si>
  <si>
    <t>Architecture Design</t>
  </si>
  <si>
    <t>Unknowns</t>
  </si>
  <si>
    <t>High-level architecture design
&gt;&gt; Microservices breakdown, cloud deployment architecture
&gt;&gt; Event flow design across all services</t>
  </si>
  <si>
    <t>DR1+DR2: HLD - Event-driven Microservices (7 Services) + GCP Cloud</t>
  </si>
  <si>
    <t>Low-level design and database architecture
&gt;&gt; Class diagrams, sequence diagrams per module
&gt;&gt; Database schema design for all five domains</t>
  </si>
  <si>
    <t>NFR2: LLD - Class Diagrams, Sequence Diagrams, DB ERD (5 Schemas)</t>
  </si>
  <si>
    <t>Architecture review and client sign-off</t>
  </si>
  <si>
    <t>All: Design Review &amp; Sign-off - Architecture, LLD, DB Design</t>
  </si>
  <si>
    <t>Application Framework Setup</t>
  </si>
  <si>
    <t>Multi-layered application framework
&gt;&gt; Project structure, module separation, coding standards
&gt;&gt; Shared libraries and cross-cutting concerns</t>
  </si>
  <si>
    <t>DR1+DR2: Maven Multi-module + Parent POM + Spring Boot 3.2 Framework</t>
  </si>
  <si>
    <t>API Gateway, logging and exception handling
&gt;&gt; Centralised routing, rate limiting, request validation
&gt;&gt; Structured logging and distributed tracing</t>
  </si>
  <si>
    <t>NFR4+DR5: API Gateway, Spring Cloud Gateway, Logging (Cloud Logging)</t>
  </si>
  <si>
    <t>Security framework
&gt;&gt; Identity management with role-based access control
&gt;&gt; Six user roles: Customer, Surveyor, Adjustor, Case Manager, Admin, Partner
&gt;&gt; Service-to-service security, encryption at rest and in transit</t>
  </si>
  <si>
    <t>NFR5+5.1.FR2+5.1.FR5: Keycloak 23 OAuth2/OIDC, 6 Roles, Istio mTLS</t>
  </si>
  <si>
    <t>Event-driven integration framework
&gt;&gt; Asynchronous messaging across all services
&gt;&gt; Shared event contracts and dead-letter handling</t>
  </si>
  <si>
    <t>DR2+5.1.FR1: Kafka Integration + shared-events Library (11 Topics)</t>
  </si>
  <si>
    <t>C</t>
  </si>
  <si>
    <t>Development &amp; Unit Testing</t>
  </si>
  <si>
    <t>Development Environment Setup</t>
  </si>
  <si>
    <t>Requirements knowledge transfer to development team</t>
  </si>
  <si>
    <t>All: SRS Knowledge Transfer to Dev Team</t>
  </si>
  <si>
    <t>Architecture and design walkthrough with dev team</t>
  </si>
  <si>
    <t>DR1: Design &amp; Architecture Knowledge Transfer</t>
  </si>
  <si>
    <t>Application project structure and build setup
&gt;&gt; Module organisation, dependency management, CI/CD pipeline</t>
  </si>
  <si>
    <t>DR2: Maven Multi-module Setup, Parent POM, Shared Events JAR</t>
  </si>
  <si>
    <t>Local development environment
&gt;&gt; Database, message broker, identity provider, object storage
&gt;&gt; Containerised local stack for all developers</t>
  </si>
  <si>
    <t>NFR2: Docker Compose Setup - 18 Containers (Kafka, Keycloak, MinIO, Zeebe)</t>
  </si>
  <si>
    <t>Core &amp; Shared Components</t>
  </si>
  <si>
    <t>Application shell and navigation
&gt;&gt; Role-based menu, responsive layout, shared components</t>
  </si>
  <si>
    <t>DR1+FR1: React.js 18 Layout + TailwindCSS + Nagarro Design System</t>
  </si>
  <si>
    <t>Authentication integration
&gt;&gt; Login, logout, session management, token refresh</t>
  </si>
  <si>
    <t>5.1.FR2: Keycloak Login Integration, JWT, Role-based Redirect</t>
  </si>
  <si>
    <t>Role-based access control implementation
&gt;&gt; Six roles with distinct permissions across all portals</t>
  </si>
  <si>
    <t>5.1.FR2+5.1.FR3: RBAC Authorization - 6 Roles, @PreAuthorize Guards</t>
  </si>
  <si>
    <t>Notification framework
&gt;&gt; Email and SMS delivery, retry handling, templates</t>
  </si>
  <si>
    <t>FR6: Notification Framework - Kafka Consumer Base, Email Templates</t>
  </si>
  <si>
    <t>M</t>
  </si>
  <si>
    <t>Customer Portal Module</t>
  </si>
  <si>
    <t>UI Development</t>
  </si>
  <si>
    <t>Customer portal screens
&gt;&gt; Dashboard, claim submission form with photo upload
&gt;&gt; Claim status tracker and timeline view</t>
  </si>
  <si>
    <t>5.1.FR2: Customer Portal - Dashboard, Profile, React.js 18 + Tailwind</t>
  </si>
  <si>
    <t>Database Design</t>
  </si>
  <si>
    <t>&gt;&gt; Out of scope activity 1</t>
  </si>
  <si>
    <t>User and profile database schema design</t>
  </si>
  <si>
    <t>5.1.FR2+5.1.FR4: User DB Schema - Keycloak User, Role Mapping Tables</t>
  </si>
  <si>
    <t>&gt;&gt; Database design covers customer profile, policy mapping and session data only.
&gt;&gt; Native mobile app database is out of scope; web-responsive only.</t>
  </si>
  <si>
    <t>Backend Services</t>
  </si>
  <si>
    <t>Customer-facing services
&gt;&gt; Registration, profile management, policy linking</t>
  </si>
  <si>
    <t>5.1.FR2+5.1.FR3: User Microservices - Registration, Profile, Policy Link</t>
  </si>
  <si>
    <t>&gt;&gt; Customer self-registration is in scope; bulk import of existing customers is out of scope.
&gt;&gt; Policy data is fetched from insurance module; no separate policy management here.</t>
  </si>
  <si>
    <t>Business Logic &amp; Validations</t>
  </si>
  <si>
    <t>Business rules for customer module
&gt;&gt; Policy validation, profile update rules</t>
  </si>
  <si>
    <t>5.1.FR2+5.1.FR3: User Business Logic - RBAC, Policy Auto-load</t>
  </si>
  <si>
    <t>&gt;&gt; Business rules are limited to profile updates and policy validation.
&gt;&gt; Fraud detection at customer level is out of scope for this module.</t>
  </si>
  <si>
    <t>Workflow Integration</t>
  </si>
  <si>
    <t>Customer authentication and session workflow
&gt;&gt; Login flows, role-based redirects, session expiry</t>
  </si>
  <si>
    <t>5.1.FR2: Keycloak OAuth2 / OIDC Workflow, Token Refresh, Logout</t>
  </si>
  <si>
    <t>&gt;&gt; Authentication uses the shared identity provider; no custom auth implementation.
&gt;&gt; Single sign-on (SSO) with external YCompany systems is out of scope.</t>
  </si>
  <si>
    <t>Unit Testing</t>
  </si>
  <si>
    <t>Unit tests for customer module</t>
  </si>
  <si>
    <t>NFR4+NFR5: User Module Tests - Auth Flows, RBAC, Testcontainers</t>
  </si>
  <si>
    <t>&gt;&gt; Unit tests cover happy path and key error scenarios.
&gt;&gt; Browser compatibility testing is handled in QA phase, not here.</t>
  </si>
  <si>
    <t>Insurance Policy Module</t>
  </si>
  <si>
    <t>Policy management screens
&gt;&gt; Policy details, coverage summary, billing cycle</t>
  </si>
  <si>
    <t>FR1: Policy Screens - Policy Details, Billing Cycle, Coverage Summary</t>
  </si>
  <si>
    <t>&gt;&gt; Policy screens display data only; policy creation and underwriting are out of scope.
&gt;&gt; Multi-language support is out of scope.</t>
  </si>
  <si>
    <t>Policy and coverage database schema</t>
  </si>
  <si>
    <t>5.1.FR4: Policy DB Schema - Cloud SQL PostgreSQL 15, Flyway Migration</t>
  </si>
  <si>
    <t>&gt;&gt; Schema covers auto insurance policies only as per YCompany scope.
&gt;&gt; Life and term insurance schemas are out of scope for this phase.</t>
  </si>
  <si>
    <t>Policy services
&gt;&gt; Fetch policy details, coverage rules, deductible calculation</t>
  </si>
  <si>
    <t>FR1: Policy Microservices - Fetch Policy, Coverage Rules, Deductibles</t>
  </si>
  <si>
    <t>&gt;&gt; Policy services are read-only from claims perspective; write operations are out of scope.
&gt;&gt; Policy renewal and cancellation are out of scope.</t>
  </si>
  <si>
    <t>Policy business rules
&gt;&gt; Validity checks, coverage type determination</t>
  </si>
  <si>
    <t>FR1+5.1.FR6: Policy Business Logic - Coverage Validation, Fraud Check</t>
  </si>
  <si>
    <t>&gt;&gt; Coverage rules are pre-configured; dynamic rule engine is out of scope.
&gt;&gt; Policy validation logic is based on provided business rules document.</t>
  </si>
  <si>
    <t>Policy integration with claims workflow
&gt;&gt; Auto-fetch coverage on claim submission</t>
  </si>
  <si>
    <t>FR1: Policy Workflow - claim.submitted consumes Policy Coverage Data</t>
  </si>
  <si>
    <t>&gt;&gt; Integration is one-way: claims module reads policy data only.
&gt;&gt; Real-time policy status sync with external insurer systems is out of scope.</t>
  </si>
  <si>
    <t>Unit tests for insurance module</t>
  </si>
  <si>
    <t>NFR4: Insurance Module Unit Tests - Policy Rules, Coverage Edge Cases</t>
  </si>
  <si>
    <t>&gt;&gt; Unit tests cover policy fetch, coverage determination, and deductible calculation.
&gt;&gt; Performance testing of policy lookup is in QA phase.</t>
  </si>
  <si>
    <t>Claims Processing Module</t>
  </si>
  <si>
    <t>Claims portal screens
&gt;&gt; Claim submission form with location capture and document upload
&gt;&gt; Claim timeline, status tracking, adjustor review screens</t>
  </si>
  <si>
    <t>FR1+FR2: Claims Screens - Initial claim submission Form (GPS Capture), Claim Timeline, Status Tracker</t>
  </si>
  <si>
    <t>&gt;&gt; UI covers web portal and mobile-responsive web; native mobile app is out of scope.
&gt;&gt; Map view for accident location uses standard browser geolocation API.</t>
  </si>
  <si>
    <t>Claims database schema
&gt;&gt; 12-state claim lifecycle, audit history, claim number sequence</t>
  </si>
  <si>
    <t>5.1.FR4+5.1.FR1: Claims DB - claims_db, CLM-YYYY-NNNNNN, 12-State Enum, Flyway</t>
  </si>
  <si>
    <t>&gt;&gt; Claims schema covers motor insurance claims only.
&gt;&gt; Claim number format is defined as per client specification; changes require change request.</t>
  </si>
  <si>
    <t>Claims processing services
&gt;&gt; Claim intake, status management, approval/rejection workflow
&gt;&gt; Full claim lifecycle: submission to closure</t>
  </si>
  <si>
    <t>FR1+FR2: Claims Service :8081 - 12-State Machine, Kafka Publisher, ClaimController</t>
  </si>
  <si>
    <t>&gt;&gt; Claims service handles the full lifecycle from initial submission to closure.
&gt;&gt; Integration with legacy YCompany systems is out of scope unless specified.</t>
  </si>
  <si>
    <t>Claims business rules
&gt;&gt; Status transition rules, fraud indicators, audit trail
&gt;&gt; Amount breakdown: approved, deductible, insurer and customer portions</t>
  </si>
  <si>
    <t>FR1+FR2+5.1.FR6: Claims Logic - Status Transitions, No-repudiation, Fraud Flags</t>
  </si>
  <si>
    <t>&gt;&gt; Status transition rules are as defined in the SRS; any additional states require change request.
&gt;&gt; Automated fraud detection ML model is out of scope; manual flag only.</t>
  </si>
  <si>
    <t>Claims event publishing
&gt;&gt; Events on every status change: submitted, validated, approved, closed</t>
  </si>
  <si>
    <t>FR1+FR2+FR6: Kafka Events - claim.submitted → validated → approved → closed</t>
  </si>
  <si>
    <t>&gt;&gt; Events are published on every status change; consumers handle their own failures.
&gt;&gt; Event replay and event sourcing are out of scope.</t>
  </si>
  <si>
    <t>Integration tests for claims module</t>
  </si>
  <si>
    <t>NFR3+NFR4: Claims Tests - Integration (Testcontainers PostgreSQL + Kafka), 5 Tests</t>
  </si>
  <si>
    <t>&gt;&gt; Integration tests use an in-memory environment; production load testing is in QA phase.
&gt;&gt; Test coverage target is 80% of business logic.</t>
  </si>
  <si>
    <t>Partner &amp; Workshop Module</t>
  </si>
  <si>
    <t>Partner and workshop portal screens
&gt;&gt; Workshop selection with map view, work order management
&gt;&gt; Repair progress updates and payment tracking</t>
  </si>
  <si>
    <t>FR1+FR3: Partner Screens - Workshop Map (Maps API), Work Order Portal, Rental Car</t>
  </si>
  <si>
    <t>&gt;&gt; Partner portal is for registered YCompany network workshops only.
&gt;&gt; External (non-network) workshop management is out of scope.</t>
  </si>
  <si>
    <t>Partner database schema with location support</t>
  </si>
  <si>
    <t>5.1.FR4: Partner DB - partner_db, PostGIS Extension, Surveyor + Workshop Seed Data</t>
  </si>
  <si>
    <t>&gt;&gt; Location data is pre-loaded for Delhi/NCR; nationwide rollout requires data migration activity.
&gt;&gt; Real-time GPS tracking of surveyor en route is out of scope.</t>
  </si>
  <si>
    <t>Partner and workshop services
&gt;&gt; Location-based workshop and surveyor assignment
&gt;&gt; Distance calculation and travel time estimation</t>
  </si>
  <si>
    <t>FR1+FR3: Partner Service :8084 - Haversine 25km/50km, Maps Distance Matrix, GPS Verify</t>
  </si>
  <si>
    <t>&gt;&gt; Workshop assignment is proximity-based; preference-based assignment is out of scope.
&gt;&gt; Third-party vehicle rental booking uses available API; custom rental portal is out of scope.</t>
  </si>
  <si>
    <t>Partner business rules
&gt;&gt; Proximity-based assignment, certification validation
&gt;&gt; GPS arrival verification for field agents</t>
  </si>
  <si>
    <t>FR3: Partner Logic - 200m GPS Proximity Check, Workshop Certification Validation</t>
  </si>
  <si>
    <t>&gt;&gt; GPS verification tolerance (200m) is configurable; algorithm change requires change request.
&gt;&gt; Surveyor scheduling and calendar management are out of scope.</t>
  </si>
  <si>
    <t>Partner event handling
&gt;&gt; Surveyor assignment, repair updates, completion events</t>
  </si>
  <si>
    <t>FR3+FR6: Partner Events - workshop.assigned, repair.status.updated, repair.completed</t>
  </si>
  <si>
    <t>&gt;&gt; Event handling covers the agreed event types; new event types require change request.
&gt;&gt; Real-time push notifications to partner mobile app are out of scope.</t>
  </si>
  <si>
    <t>Unit tests for partner module</t>
  </si>
  <si>
    <t>NFR4: Partner Service Tests - Geo-radius, GPS Verification, Workshop Assignment</t>
  </si>
  <si>
    <t>&gt;&gt; Tests cover location search, assignment logic, and GPS verification.
&gt;&gt; Map rendering performance testing is handled in QA phase.</t>
  </si>
  <si>
    <t>Assessment &amp; Workflow Module</t>
  </si>
  <si>
    <t>Surveyor assessment screen
&gt;&gt; Damage report form with photo capture
&gt;&gt; Damage category selection and cost estimation</t>
  </si>
  <si>
    <t>FR2: Surveyor Portal - Assessment Form, Geo-tagged Photo Upload, GPS Location</t>
  </si>
  <si>
    <t>&gt;&gt; Assessment screen is for registered surveyors only; public access is out of scope.
&gt;&gt; Photo upload supports JPEG and PNG; video upload is out of scope.</t>
  </si>
  <si>
    <t>Workflow process database schema</t>
  </si>
  <si>
    <t>5.1.FR4: Workflow DB Schema - BPMN Process Instances, Variables, History</t>
  </si>
  <si>
    <t>&gt;&gt; Workflow state is managed by the workflow engine; custom state tables are minimal.
&gt;&gt; Historical workflow analytics beyond standard audit log are out of scope.</t>
  </si>
  <si>
    <t>High</t>
  </si>
  <si>
    <t>Workflow engine integration
&gt;&gt; Automated claim lifecycle orchestration
&gt;&gt; BPMN process: validate → assign → assess → adjudicate → repair → pay → close</t>
  </si>
  <si>
    <t>FR2: Workflow Service :8085 - Camunda 8 Zeebe, BPMN 2.0, Job Workers Deploy</t>
  </si>
  <si>
    <t>&gt;&gt; Workflow engine orchestrates the agreed eight-step claim lifecycle only.
&gt;&gt; Ad-hoc process changes by users are out of scope; changes go through change request.</t>
  </si>
  <si>
    <t>Workflow process design
&gt;&gt; Eight-step claim lifecycle with decision gateways
&gt;&gt; Escalation triggers when tasks are overdue</t>
  </si>
  <si>
    <t>FR2: BPMN Process - 8 Steps, AutoAssignSurveyor, AdjustorReview User Tasks</t>
  </si>
  <si>
    <t>&gt;&gt; BPMN process covers the standard claim path; exceptional paths (e.g. re-inspection) require change request.
&gt;&gt; Process simulation and modelling tools are out of scope.</t>
  </si>
  <si>
    <t>Automated workflow tasks
&gt;&gt; Auto-assign surveyor, auto-escalate to case manager
&gt;&gt; 72-hour surveyor and 48-hour adjustor escalation timers</t>
  </si>
  <si>
    <t>FR2: Zeebe Workers - validate-claim, auto-assign-surveyor, 72h + 48h Escalation Timers</t>
  </si>
  <si>
    <t>&gt;&gt; Escalation timers (72h surveyor, 48h adjustor) are configurable by admin.
&gt;&gt; Automated claim approval without human review is out of scope.</t>
  </si>
  <si>
    <t>Unit tests for workflow and assessment module</t>
  </si>
  <si>
    <t>NFR4: Workflow Tests - BPMN Process, Zeebe Job Workers, Escalation Timers</t>
  </si>
  <si>
    <t>&gt;&gt; Tests cover process start, task assignment, timer triggers, and close events.
&gt;&gt; BPMN process migration testing for version upgrades is out of scope.</t>
  </si>
  <si>
    <t>Notification Module</t>
  </si>
  <si>
    <t>Notification preferences screen
&gt;&gt; Channel preferences, notification history</t>
  </si>
  <si>
    <t>FR6: Notification UI - Preferences, Notification History, Real-time Status</t>
  </si>
  <si>
    <t>&gt;&gt; Notification preferences are per user; organisation-level broadcast is out of scope.
&gt;&gt; In-app real-time push notifications use browser notifications; mobile push is out of scope.</t>
  </si>
  <si>
    <t>Notification database schema with duplicate prevention</t>
  </si>
  <si>
    <t>5.1.FR4+5.1.FR1: Notification DB - Idempotency Log, notification_log UNIQUE Key</t>
  </si>
  <si>
    <t>&gt;&gt; Schema stores delivery status; content archiving is handled by document module.
&gt;&gt; Notification analytics dashboard is out of scope.</t>
  </si>
  <si>
    <t>Notification service
&gt;&gt; Event-driven email and SMS delivery across six event types
&gt;&gt; All parties notified at each claim status change</t>
  </si>
  <si>
    <t>FR6: Notification Service :8082 - 6 Kafka Consumers, Spring Mail, Email + SMS</t>
  </si>
  <si>
    <t>&gt;&gt; Email notifications use provided SMTP/email service; own mail server setup is out of scope.
&gt;&gt; SMS uses a third-party gateway; gateway selection is confirmed by client before Sprint 6.</t>
  </si>
  <si>
    <t>Notification business rules
&gt;&gt; Idempotency to prevent duplicate notifications
&gt;&gt; Template selection per event and recipient role</t>
  </si>
  <si>
    <t>FR6+5.1.FR1: Notification Logic - HTML Templates, Idempotency, Retry Handling</t>
  </si>
  <si>
    <t>&gt;&gt; Duplicate prevention is based on event ID; at-least-once delivery is assumed.
&gt;&gt; Rich HTML email rendering is tested on major email clients (Outlook, Gmail, Apple Mail).</t>
  </si>
  <si>
    <t>Failed notification handling and retry</t>
  </si>
  <si>
    <t>FR6: Kafka Event Correlation - Dead Letter Queue, Cloud Pub/Sub DLQ</t>
  </si>
  <si>
    <t>&gt;&gt; Failed notifications are retried up to three times; after that, logged for manual review.
&gt;&gt; Notification failure alerting to admin is in scope; auto-recovery beyond retry is out of scope.</t>
  </si>
  <si>
    <t>Unit tests for notification module</t>
  </si>
  <si>
    <t>NFR4: Notification Tests - Idempotency, Kafka Consumer, Email Template</t>
  </si>
  <si>
    <t>&gt;&gt; Tests cover delivery, idempotency, and retry behaviour.
&gt;&gt; Email deliverability testing with spam filters is out of scope.</t>
  </si>
  <si>
    <t>Payment &amp; Billing Module</t>
  </si>
  <si>
    <t>Payment screens
&gt;&gt; Payment due summary, online payment, receipt download</t>
  </si>
  <si>
    <t>FR1: Payment Screen - Electronic Settlement, Invoice, Receipt Download</t>
  </si>
  <si>
    <t>&gt;&gt; Payment is electronic only; cheque and cash payment flows are out of scope.
&gt;&gt; Instalment payment plans are out of scope.</t>
  </si>
  <si>
    <t>Payment and billing database schema</t>
  </si>
  <si>
    <t>5.1.FR4+5.1.FR5: Billing DB Schema - Payment Records, Audit Log</t>
  </si>
  <si>
    <t>&gt;&gt; Schema covers claim-related payments only; premium billing is out of scope.
&gt;&gt; Multi-currency support is out of scope.</t>
  </si>
  <si>
    <t>Payment services
&gt;&gt; Electronic payment processing for customer and workshop
&gt;&gt; Payment confirmation and receipt generation</t>
  </si>
  <si>
    <t>FR1+FR3+5.1.FR5: Stripe Integration - Webhooks, Customer + Workshop Settlement</t>
  </si>
  <si>
    <t>&gt;&gt; Payment gateway integration uses the agreed third-party provider; gateway switch requires change request.
&gt;&gt; Refund processing is in scope; partial refund is out of scope.</t>
  </si>
  <si>
    <t>Payment business rules
&gt;&gt; Amount split: customer contribution vs insurer settlement
&gt;&gt; PCI-DSS compliant card handling</t>
  </si>
  <si>
    <t>FR1+5.1.FR5: PCI-DSS Payment Logic - Stripe.js, Secure Token, Compliance</t>
  </si>
  <si>
    <t>&gt;&gt; Card data is tokenised at source; no card details stored on YCompany servers.
&gt;&gt; Payment reconciliation reporting with bank statements is out of scope.</t>
  </si>
  <si>
    <t>Payment event on successful settlement → triggers claim closure</t>
  </si>
  <si>
    <t>FR1+FR6: Payment Events - payment.processed Kafka Trigger, claim.closed</t>
  </si>
  <si>
    <t>&gt;&gt; Payment event triggers claim closure automatically upon successful settlement.
&gt;&gt; Manual payment override by case manager is in scope; bulk payment is out of scope.</t>
  </si>
  <si>
    <t>Unit tests for payment module</t>
  </si>
  <si>
    <t>NFR4+5.1.FR5: Billing Tests - Stripe Webhook, Payment Flow, PCI Compliance</t>
  </si>
  <si>
    <t>&gt;&gt; Tests cover payment flow, failure handling, and event publishing.
&gt;&gt; PCI-DSS compliance audit is the responsibility of the payment gateway provider.</t>
  </si>
  <si>
    <t>Document Management Module</t>
  </si>
  <si>
    <t>Document storage schema
&gt;&gt; Metadata for all claim documents with 7-year retention</t>
  </si>
  <si>
    <t>FR5+5.1.FR4: Document DB - document_db, 7-Year Retention Metadata, Audit Fields</t>
  </si>
  <si>
    <t>&gt;&gt; Document storage covers claim-related documents only.
&gt;&gt; Version history of documents is out of scope; latest version only is stored.</t>
  </si>
  <si>
    <t>Document management service
&gt;&gt; Secure upload and retrieval of claim documents
&gt;&gt; Time-limited secure access links, location metadata extraction</t>
  </si>
  <si>
    <t>FR5: Document Service :8083 - MinIO/GCS, Pre-signed URLs, EXIF GPS, Namespaced Keys</t>
  </si>
  <si>
    <t>&gt;&gt; Supported file types: JPEG, PNG, PDF; other formats are out of scope.
&gt;&gt; Maximum file size is 20MB per document; bulk import of historical documents is out of scope.</t>
  </si>
  <si>
    <t>Document business rules
&gt;&gt; Retention policy, role-based access, audit logging
&gt;&gt; Immutable archive for compliance and no-repudiation</t>
  </si>
  <si>
    <t>FR5+5.1.FR4+5.1.FR6: Document Logic - Archive, 7-Year Retention, No-repudiation</t>
  </si>
  <si>
    <t>&gt;&gt; Seven-year retention is enforced by policy flag; physical deletion automation is out of scope.
&gt;&gt; Document OCR and content extraction are out of scope.</t>
  </si>
  <si>
    <t>Auto-archive all documents on claim closure</t>
  </si>
  <si>
    <t>FR5+5.1.FR6: Archive Events - Claim Dossier on Closure, Compliance Metadata</t>
  </si>
  <si>
    <t>&gt;&gt; Auto-archive is triggered on claim closure event; manual archive by admin is also in scope.
&gt;&gt; Archival to external long-term storage (tape, glacier) is out of scope.</t>
  </si>
  <si>
    <t>Unit tests for document management module</t>
  </si>
  <si>
    <t>NFR4: Document Tests - MinIO Testcontainers, Upload, Pre-signed URL Expiry</t>
  </si>
  <si>
    <t>&gt;&gt; Tests cover upload, retrieval, access control, and archive trigger.
&gt;&gt; Virus scanning of uploaded files is out of scope for this phase.</t>
  </si>
  <si>
    <t>Reporting &amp; Analytics Module</t>
  </si>
  <si>
    <t>Reports Development</t>
  </si>
  <si>
    <t>Claims reports development
&gt;&gt; Processing time report, fraud report, ageing matrix
&gt;&gt; Regional reports for managers, executive dashboard</t>
  </si>
  <si>
    <t>FR4: Reports - Claims Processed, Processing Time, Fraud, Ageing Matrix, Regional</t>
  </si>
  <si>
    <t>&gt;&gt; Reports are role-based; only authorised users can access relevant reports.
&gt;&gt; Real-time dashboards are out of scope; scheduled batch reports are in scope.</t>
  </si>
  <si>
    <t>Reports Validation &amp; Testing</t>
  </si>
  <si>
    <t>Report testing and validation
&gt;&gt; Data accuracy checks, role-based access validation</t>
  </si>
  <si>
    <t>FR4: Report Validation - Case Manager, Regional Manager, Top Management Views</t>
  </si>
  <si>
    <t>&gt;&gt; Report data validation is against the live claims database.
&gt;&gt; Report export to Excel and PDF is in scope; API-based report data feed is out of scope.</t>
  </si>
  <si>
    <t>System Stabilization</t>
  </si>
  <si>
    <t>Performance &amp; Stabilization</t>
  </si>
  <si>
    <t>Performance optimisation
&gt;&gt; Load testing to 1,000 concurrent requests per minute
&gt;&gt; Auto-scaling under peak load, database query tuning</t>
  </si>
  <si>
    <t>NFR3: Performance Tuning - GKE HPA 2-10 Pods, JMeter 1000 req/min SLA</t>
  </si>
  <si>
    <t>This effort should be calculated by summing up all tasks/groups other than System Stabilization.</t>
  </si>
  <si>
    <t>Bug fixing and system stabilisation
&gt;&gt; Cross-browser and mobile compatibility
&gt;&gt; End-to-end regression testing</t>
  </si>
  <si>
    <t>NFR3+NFR4: System Stabilization - Bug Fixing, Load Testing, Error Rate Monitoring</t>
  </si>
  <si>
    <t>D</t>
  </si>
  <si>
    <t>System Testing &amp; Quality Assurance</t>
  </si>
  <si>
    <t>QA Team Onboarding</t>
  </si>
  <si>
    <t>Test Planning &amp; Analysis</t>
  </si>
  <si>
    <t>Test planning and environment setup
&gt;&gt; Test scope, strategy, and acceptance criteria per requirement
&gt;&gt; Test environment configuration</t>
  </si>
  <si>
    <t>All FRs: QA Requirement Study, Test Strategy Planning</t>
  </si>
  <si>
    <t>Test plan documentation
&gt;&gt; Coverage mapped to all functional requirements
&gt;&gt; Test data strategy: users, policies, claim scenarios</t>
  </si>
  <si>
    <t>NFR3: Test Plan - 99% SLA &lt; 5000ms, Coverage per FR1-FR6</t>
  </si>
  <si>
    <t>Total Use Cases</t>
  </si>
  <si>
    <t>Test Preparation</t>
  </si>
  <si>
    <t>Test Cases Preparation</t>
  </si>
  <si>
    <t>Testing approach
&gt;&gt; Functional, integration, performance, and security testing
&gt;&gt; Automated regression suite</t>
  </si>
  <si>
    <t>NFR3+NFR4: Test Strategy - Testcontainers, JMeter, OWASP Scan</t>
  </si>
  <si>
    <t>&gt;&gt; Valid only in case of mannual testing
&gt;&gt; Mutually exclusive with 5.3</t>
  </si>
  <si>
    <t>Functional test case preparation
&gt;&gt; All portal flows: customer, adjustor, surveyor, partner
&gt;&gt; Document upload, notification delivery, payment flows</t>
  </si>
  <si>
    <t>FR1-FR6: Functional Test Cases Preparation - All Portals, All Roles</t>
  </si>
  <si>
    <t>&gt;&gt; Valid only in case of automated testing
&gt;&gt; Mutually exclusive with 5.2</t>
  </si>
  <si>
    <t>API and integration test cases
&gt;&gt; All REST endpoints and event-driven flows
&gt;&gt; End-to-end claim lifecycle scenarios</t>
  </si>
  <si>
    <t>FR1-FR6: API + Integration Test Cases - All Endpoints, Kafka Events</t>
  </si>
  <si>
    <t>Test case peer review and QA sign-off</t>
  </si>
  <si>
    <t>All: Test Cases Peer Review &amp; QA Sign-off</t>
  </si>
  <si>
    <t>Test Execution</t>
  </si>
  <si>
    <t>Test execution
&gt;&gt; Smoke tests, functional regression, integration
&gt;&gt; Full end-to-end claim flow from submission to closure</t>
  </si>
  <si>
    <t>NFR2+NFR4: Test Environment Setup - GKE Dev Namespace, Docker Compose</t>
  </si>
  <si>
    <t>How much percentage of test cases you are intended to execute</t>
  </si>
  <si>
    <t>Functional test case execution
&gt;&gt; All scenarios against acceptance criteria</t>
  </si>
  <si>
    <t>FR1-FR6: Test Case Execution, Regression, E2E Claim Flow</t>
  </si>
  <si>
    <t>Performance Testing</t>
  </si>
  <si>
    <t>Performance testing
&gt;&gt; 1,000 concurrent users sustained load test
&gt;&gt; Target: 99% of requests under 5 seconds</t>
  </si>
  <si>
    <t>NFR3: Performance Testing - JMeter 1000 req/min, Claims + Partner APIs</t>
  </si>
  <si>
    <t>Environments</t>
  </si>
  <si>
    <t>Performance test script preparation</t>
  </si>
  <si>
    <t>NFR3: JMeter Scripts - Claim Submission, Document Upload, Initial claim submission Load Test</t>
  </si>
  <si>
    <t>Test Cases</t>
  </si>
  <si>
    <t>60% test cases considered for Performance testing</t>
  </si>
  <si>
    <t>Performance test execution
&gt;&gt; Baseline, load, spike and stress scenarios</t>
  </si>
  <si>
    <t>NFR3: JMeter Execution - Baseline, Soak, Spike, Stress Tests</t>
  </si>
  <si>
    <t>Performance test reports and recommendations</t>
  </si>
  <si>
    <t>NFR3: Performance Reports - P95/P99 Latency, Throughput, Error Rate</t>
  </si>
  <si>
    <t>E</t>
  </si>
  <si>
    <t>Deployment, UAT &amp; Go-Live</t>
  </si>
  <si>
    <t>Staging &amp; Interim Releases</t>
  </si>
  <si>
    <t>Staging releases throughout development
&gt;&gt; Regular demo-ready deployments to staging environment
&gt;&gt; Automated build and deploy via CI/CD pipeline</t>
  </si>
  <si>
    <t>NFR2: Sprint Demo Releases - GitHub Actions CI/CD, GKE Dev Deploy</t>
  </si>
  <si>
    <t>Demos</t>
  </si>
  <si>
    <t>Interim staging releases for review
&gt;&gt; Eight milestone releases to client staging environment</t>
  </si>
  <si>
    <t>NFR2: Staging Releases - Docker Multi-stage, GKE Staging Namespace</t>
  </si>
  <si>
    <t>Releases</t>
  </si>
  <si>
    <t>UAT Release</t>
  </si>
  <si>
    <t>UAT release preparation and support
&gt;&gt; Two full-stack UAT releases with client acceptance testing</t>
  </si>
  <si>
    <t>NFR2: UAT Release - GKE Production-like, Smoke Tests, User Acceptance</t>
  </si>
  <si>
    <t>Resources
Weeks</t>
  </si>
  <si>
    <t>2 Resources for 4 weeks of 5 days each.</t>
  </si>
  <si>
    <t>Production Release</t>
  </si>
  <si>
    <t>Production release
&gt;&gt; Full deployment to production environment
&gt;&gt; Smoke testing, go-live checklist, rollback plan</t>
  </si>
  <si>
    <t>NFR2: Production Release - GKE Autopilot, ArgoCD GitOps, Canary 5%→100%</t>
  </si>
  <si>
    <t>1 Resource for 2 weeks of 5 days each.</t>
  </si>
  <si>
    <t>Documentation &amp; Training</t>
  </si>
  <si>
    <t>Technical documentation
&gt;&gt; System architecture docs, API documentation, deployment guide</t>
  </si>
  <si>
    <t>All: Technical Docs - README, GITHUB_SETUP.md, Swagger/OpenAPI, Runbook</t>
  </si>
  <si>
    <t>Training plan and role-specific user guides</t>
  </si>
  <si>
    <t>NFR4: Training Plan - Role-specific Portal Training Material</t>
  </si>
  <si>
    <t>User manuals
&gt;&gt; Separate guides per portal: customer, adjustor, surveyor, partner</t>
  </si>
  <si>
    <t>All: User Manual - Customer, Adjustor, Surveyor, Partner Portal Guides</t>
  </si>
  <si>
    <t>Train-the-trainer sessions for YCompany staff</t>
  </si>
  <si>
    <t>All: Train the Trainer - Portal Walkthrough, Admin Guide</t>
  </si>
  <si>
    <t>F</t>
  </si>
  <si>
    <t>Project Management &amp; Others</t>
  </si>
  <si>
    <t>Project Management</t>
  </si>
  <si>
    <t>Project management
&gt;&gt; Agile ceremonies, sprint planning, stakeholder reporting
&gt;&gt; Risk management and dependency tracking</t>
  </si>
  <si>
    <t>All: Project Management - Agile/Scrum, GitHub Actions, Jira, Slack</t>
  </si>
  <si>
    <t>W2</t>
  </si>
  <si>
    <t>Functional Breakdown Summary</t>
  </si>
  <si>
    <t xml:space="preserve">Functional breakdown summary shows complete list of development tasks and modules and adds % based effort from all other phases into each task. This gets the complete costing and effort per development task. </t>
  </si>
  <si>
    <t>Format:</t>
  </si>
  <si>
    <t>Default</t>
  </si>
  <si>
    <t>Generate</t>
  </si>
  <si>
    <t>Pricing &amp; Basic Schedule</t>
  </si>
  <si>
    <t>Role-wise rates / effort distribution</t>
  </si>
  <si>
    <t>PDs</t>
  </si>
  <si>
    <t>Weeks</t>
  </si>
  <si>
    <t>BA</t>
  </si>
  <si>
    <t>TA</t>
  </si>
  <si>
    <t>TL</t>
  </si>
  <si>
    <t>DEV</t>
  </si>
  <si>
    <t>QA</t>
  </si>
  <si>
    <t>GD</t>
  </si>
  <si>
    <t>Req</t>
  </si>
  <si>
    <t>Design</t>
  </si>
  <si>
    <t>Dev.</t>
  </si>
  <si>
    <t>UAT Etc.</t>
  </si>
  <si>
    <t>Others</t>
  </si>
  <si>
    <t>←  TOTALS  →</t>
  </si>
  <si>
    <t>Role-wise resource count / phase</t>
  </si>
  <si>
    <t>Start Next  
After %</t>
  </si>
  <si>
    <t>Start</t>
  </si>
  <si>
    <t>End</t>
  </si>
  <si>
    <t>Note: This does not takes care of optimized parallel execution of tasks. For that manual scheduling will be required, which can be / done on next sheet.</t>
  </si>
  <si>
    <t>Automated</t>
  </si>
  <si>
    <t>Ending at:</t>
  </si>
  <si>
    <t>Manual</t>
  </si>
  <si>
    <t>For complete manual schedule details,</t>
  </si>
  <si>
    <t>click here.</t>
  </si>
  <si>
    <t>Estimation Support Settings</t>
  </si>
  <si>
    <t>RFP Details</t>
  </si>
  <si>
    <t>Client Name</t>
  </si>
  <si>
    <t>Ycompany</t>
  </si>
  <si>
    <t>Project Name</t>
  </si>
  <si>
    <t>ClaimMyInsurance</t>
  </si>
  <si>
    <t>Platform</t>
  </si>
  <si>
    <t>Enterprise</t>
  </si>
  <si>
    <t>Project Type</t>
  </si>
  <si>
    <t>Development</t>
  </si>
  <si>
    <t>RFP Name</t>
  </si>
  <si>
    <t>Is Key Opp?</t>
  </si>
  <si>
    <t>Geography</t>
  </si>
  <si>
    <t>USA</t>
  </si>
  <si>
    <t>Currency</t>
  </si>
  <si>
    <t>USD</t>
  </si>
  <si>
    <t>Minimum (-)</t>
  </si>
  <si>
    <t>Maximum (+)</t>
  </si>
  <si>
    <t>Inbuilt Names (to use in Formula)</t>
  </si>
  <si>
    <t>Special Unit Names</t>
  </si>
  <si>
    <t>TOTAL_COST</t>
  </si>
  <si>
    <t>As Dev Effort %</t>
  </si>
  <si>
    <t>(Do not use inside development phase)</t>
  </si>
  <si>
    <t>REQ_COST</t>
  </si>
  <si>
    <t>As Duration %</t>
  </si>
  <si>
    <t>(Uses manual duration)</t>
  </si>
  <si>
    <t>DESIGN_COST</t>
  </si>
  <si>
    <t>DEV_COST</t>
  </si>
  <si>
    <t>QA_COST</t>
  </si>
  <si>
    <t>UAT_COST</t>
  </si>
  <si>
    <t>OTHER_COST</t>
  </si>
  <si>
    <t>TOTAL_EFFORT</t>
  </si>
  <si>
    <t>REQ_EFFORT</t>
  </si>
  <si>
    <t>DESIGN_EFFORT</t>
  </si>
  <si>
    <t>DEV_EFFORT</t>
  </si>
  <si>
    <t>QA_EFFORT</t>
  </si>
  <si>
    <t>UAT_EFFORT</t>
  </si>
  <si>
    <t>OTHER_EFFORT</t>
  </si>
  <si>
    <t>TOTAL_WEEKS</t>
  </si>
  <si>
    <t>START_DATE</t>
  </si>
  <si>
    <t>AUTOMATED_END_DATE</t>
  </si>
  <si>
    <t>MANUAL_END_DATE</t>
  </si>
  <si>
    <t>DURATION</t>
  </si>
  <si>
    <t>MANUAL_DURATION</t>
  </si>
  <si>
    <t>Complexity impact</t>
  </si>
  <si>
    <t>% Values</t>
  </si>
  <si>
    <t>High (+)</t>
  </si>
  <si>
    <t>Used to get effort for High and Low complexity activities based on given medium complexity effort.</t>
  </si>
  <si>
    <t>Low (-)</t>
  </si>
  <si>
    <t>Added to calculated effort, when chosen.</t>
  </si>
  <si>
    <t>Extra 1</t>
  </si>
  <si>
    <t>Extra 2</t>
  </si>
  <si>
    <t>Extra 3</t>
  </si>
  <si>
    <t>Buffer types</t>
  </si>
  <si>
    <t>Added to final effort reached after +/- adjustments.</t>
  </si>
  <si>
    <t>Templates</t>
  </si>
  <si>
    <t>Section Name</t>
  </si>
  <si>
    <t>Task Name</t>
  </si>
  <si>
    <t>Task activity description
&gt;&gt; Describe what is included in scope
&gt;&gt; Add relevant notes</t>
  </si>
  <si>
    <t>&gt;&gt; Note any items that are out of scope for this task
&gt;&gt; Add assumptions relevant to estimating this activity</t>
  </si>
  <si>
    <t>Task Group Name</t>
  </si>
  <si>
    <t>YES_NO_LIST</t>
  </si>
  <si>
    <t>No</t>
  </si>
  <si>
    <t>ROLES_LIST</t>
  </si>
  <si>
    <t>OC</t>
  </si>
  <si>
    <t>PM</t>
  </si>
  <si>
    <t>REGIONS_LIST</t>
  </si>
  <si>
    <t>Mexico</t>
  </si>
  <si>
    <t>Europe</t>
  </si>
  <si>
    <t>Asia (except India)</t>
  </si>
  <si>
    <t>India</t>
  </si>
  <si>
    <t>CURRENCIES_LIST</t>
  </si>
  <si>
    <t>Euro</t>
  </si>
  <si>
    <t>PROJECT_TYPES_LIST</t>
  </si>
  <si>
    <t>Consulting</t>
  </si>
  <si>
    <t>Testing</t>
  </si>
  <si>
    <t>PLATFORMS_LIST</t>
  </si>
  <si>
    <t>Web</t>
  </si>
  <si>
    <t>Windows</t>
  </si>
  <si>
    <t>Mobile</t>
  </si>
  <si>
    <t>BUFFER_TYPES_LIST</t>
  </si>
  <si>
    <t>SALES_CALL_SCALE_LIST</t>
  </si>
  <si>
    <t>Minimize</t>
  </si>
  <si>
    <t>Reduce by:</t>
  </si>
  <si>
    <t>Increase by:</t>
  </si>
  <si>
    <t>Maximize</t>
  </si>
  <si>
    <t>INCLUDE_OPTIONALS_LIST</t>
  </si>
  <si>
    <t>Start Date</t>
  </si>
  <si>
    <t>End Date</t>
  </si>
  <si>
    <t>NOTE:</t>
  </si>
  <si>
    <t>Manually build the execution plan below using given template or otherwise and type in the final end date above.</t>
  </si>
  <si>
    <t>Months</t>
  </si>
  <si>
    <t>Phases</t>
  </si>
  <si>
    <t>Resources</t>
  </si>
  <si>
    <t>Business Analyst</t>
  </si>
  <si>
    <t>Solution Architect</t>
  </si>
  <si>
    <t>Tech Lead</t>
  </si>
  <si>
    <t>Backend Developer (×3)</t>
  </si>
  <si>
    <t>Frontend Developer (×2)</t>
  </si>
  <si>
    <t>QA Engineer</t>
  </si>
  <si>
    <t>DevOps Engineer</t>
  </si>
  <si>
    <t>eClaims – Project Rough Work &amp; Planning Reference</t>
  </si>
  <si>
    <t>Client: YCompany  |  Project: ClaimMyInsurance  |  Type: Enterprise Development  |  Duration: 26 Weeks  |  Methodology: Agile / Scrum</t>
  </si>
  <si>
    <t>TEAM STRUCTURE</t>
  </si>
  <si>
    <t>Role</t>
  </si>
  <si>
    <t>Count</t>
  </si>
  <si>
    <t>Phase A
(Req)</t>
  </si>
  <si>
    <t>Phase B
(Design)</t>
  </si>
  <si>
    <t>Phase C
(Dev)</t>
  </si>
  <si>
    <t>Phase D
(QA)</t>
  </si>
  <si>
    <t>Phase E
(Deploy)</t>
  </si>
  <si>
    <t>Responsibilities</t>
  </si>
  <si>
    <t>●</t>
  </si>
  <si>
    <t>Requirements, UAT support, documentation</t>
  </si>
  <si>
    <t>Architecture, design review, framework decisions</t>
  </si>
  <si>
    <t>Technical ownership, code review, team guidance</t>
  </si>
  <si>
    <t>Backend Developer</t>
  </si>
  <si>
    <t>All backend services, APIs, business logic</t>
  </si>
  <si>
    <t>Frontend Developer</t>
  </si>
  <si>
    <t>Customer portal, adjustor &amp; partner portals</t>
  </si>
  <si>
    <t>Test planning, execution, performance testing</t>
  </si>
  <si>
    <t>CI/CD pipeline, cloud infra, deployments</t>
  </si>
  <si>
    <t>TOTAL TEAM SIZE</t>
  </si>
  <si>
    <t>9 People</t>
  </si>
  <si>
    <t>SPRINT PLAN  (13 Sprints × 2 Weeks = 26 Weeks)</t>
  </si>
  <si>
    <t>Sprint</t>
  </si>
  <si>
    <t>Phase</t>
  </si>
  <si>
    <t>Focus Areas</t>
  </si>
  <si>
    <t>Key Deliverables</t>
  </si>
  <si>
    <t>Arch</t>
  </si>
  <si>
    <t>BE</t>
  </si>
  <si>
    <t>FE</t>
  </si>
  <si>
    <t>DevOps</t>
  </si>
  <si>
    <t>W1–W2</t>
  </si>
  <si>
    <t>A – Requirements</t>
  </si>
  <si>
    <t>Project kickoff, stakeholder interviews, current process study</t>
  </si>
  <si>
    <t>Kickoff deck, process AS-IS diagram, stakeholder register</t>
  </si>
  <si>
    <t>–</t>
  </si>
  <si>
    <t>W3–W4</t>
  </si>
  <si>
    <t>Requirements gathering, user journeys, SRS draft</t>
  </si>
  <si>
    <t>User profiles, user journeys (7 phases), SRS draft v1</t>
  </si>
  <si>
    <t>W5–W6</t>
  </si>
  <si>
    <t>B – Design</t>
  </si>
  <si>
    <t>Architecture design, HLD, POC kick-off</t>
  </si>
  <si>
    <t>HLD document, cloud architecture diagrams, POC results</t>
  </si>
  <si>
    <t>S4</t>
  </si>
  <si>
    <t>W7–W8</t>
  </si>
  <si>
    <t>LLD, DB schema design, framework setup, design sign-off</t>
  </si>
  <si>
    <t>LLD diagrams, DB ERDs, framework skeleton, SRS sign-off</t>
  </si>
  <si>
    <t>S5</t>
  </si>
  <si>
    <t>W9–W10</t>
  </si>
  <si>
    <t>C – Development</t>
  </si>
  <si>
    <t>Customer Portal, Insurance Policy module development</t>
  </si>
  <si>
    <t>Customer portal (login, dashboard, profile), Policy screens &amp; services</t>
  </si>
  <si>
    <t>S6</t>
  </si>
  <si>
    <t>W11–W12</t>
  </si>
  <si>
    <t>Claims module — Claim submission form, status lifecycle, claims services</t>
  </si>
  <si>
    <t>Claims submission, 12-state lifecycle, claim timeline UI</t>
  </si>
  <si>
    <t>S7</t>
  </si>
  <si>
    <t>W13–W14</t>
  </si>
  <si>
    <t>Partner &amp; Workshop module, Workflow &amp; Assessment module</t>
  </si>
  <si>
    <t>Workshop selection map, surveyor assignment, BPMN workflow</t>
  </si>
  <si>
    <t>S8</t>
  </si>
  <si>
    <t>W15–W16</t>
  </si>
  <si>
    <t>Notification service, Payment module, Document management</t>
  </si>
  <si>
    <t>Email/SMS notifications, payment flow, document upload &amp; archive</t>
  </si>
  <si>
    <t>S9</t>
  </si>
  <si>
    <t>W17–W18</t>
  </si>
  <si>
    <t>Reporting module, system integration, stabilisation</t>
  </si>
  <si>
    <t>Claims reports, analytics dashboard, end-to-end integration</t>
  </si>
  <si>
    <t>S10</t>
  </si>
  <si>
    <t>W19–W20</t>
  </si>
  <si>
    <t>D – QA Testing</t>
  </si>
  <si>
    <t>Functional test execution, regression testing, UAT prep</t>
  </si>
  <si>
    <t>Functional test results, defect log, UAT release candidate</t>
  </si>
  <si>
    <t>S11</t>
  </si>
  <si>
    <t>W21–W22</t>
  </si>
  <si>
    <t>D – QA / E – Deploy</t>
  </si>
  <si>
    <t>Performance testing, staging release, production prep</t>
  </si>
  <si>
    <t>Performance test report, staging sign-off, production checklist</t>
  </si>
  <si>
    <t>S12</t>
  </si>
  <si>
    <t>W23–W24</t>
  </si>
  <si>
    <t>E – Deployment</t>
  </si>
  <si>
    <t>UAT with YCompany, UAT feedback and fixes</t>
  </si>
  <si>
    <t>UAT sign-off report, resolved UAT defects</t>
  </si>
  <si>
    <t>S13</t>
  </si>
  <si>
    <t>W25–W26</t>
  </si>
  <si>
    <t>Production go-live, documentation, training, handover</t>
  </si>
  <si>
    <t>Go-live, user manuals, training sessions, project closure report</t>
  </si>
  <si>
    <t>EFFORT SUMMARY BY PHASE</t>
  </si>
  <si>
    <t>Duration</t>
  </si>
  <si>
    <t>% of Total</t>
  </si>
  <si>
    <t>Key Roles</t>
  </si>
  <si>
    <t>Deliverables</t>
  </si>
  <si>
    <t>4 weeks</t>
  </si>
  <si>
    <t>~80 PDs</t>
  </si>
  <si>
    <t>12%</t>
  </si>
  <si>
    <t>BA, Architect</t>
  </si>
  <si>
    <t>SRS, User Journeys, Wireframes</t>
  </si>
  <si>
    <t>B – System Design</t>
  </si>
  <si>
    <t>~65 PDs</t>
  </si>
  <si>
    <t>10%</t>
  </si>
  <si>
    <t>Architect, TL</t>
  </si>
  <si>
    <t>HLD, LLD, DB Schema, Framework</t>
  </si>
  <si>
    <t>14 weeks</t>
  </si>
  <si>
    <t>~380 PDs</t>
  </si>
  <si>
    <t>58%</t>
  </si>
  <si>
    <t>TL, BE ×3, FE ×2</t>
  </si>
  <si>
    <t>7 Modules, API Gateway, Unit Tests</t>
  </si>
  <si>
    <t>D – QA &amp; Testing</t>
  </si>
  <si>
    <t>6 weeks</t>
  </si>
  <si>
    <t>QA, TL</t>
  </si>
  <si>
    <t>Test Cases, Execution, Perf Reports</t>
  </si>
  <si>
    <t>E – Deployment &amp; UAT</t>
  </si>
  <si>
    <t>~35 PDs</t>
  </si>
  <si>
    <t>5%</t>
  </si>
  <si>
    <t>TL, DevOps, BA</t>
  </si>
  <si>
    <t>Staging, UAT, Production Release</t>
  </si>
  <si>
    <t>F – PM &amp; Others</t>
  </si>
  <si>
    <t>26 weeks</t>
  </si>
  <si>
    <t>~18 PDs</t>
  </si>
  <si>
    <t>3%</t>
  </si>
  <si>
    <t>TL (0.5 FTE)</t>
  </si>
  <si>
    <t>Agile ceremonies, Risk management</t>
  </si>
  <si>
    <t>TOTAL</t>
  </si>
  <si>
    <t>26 Weeks</t>
  </si>
  <si>
    <t>~658 PDs</t>
  </si>
  <si>
    <t>100%</t>
  </si>
  <si>
    <t>KEY ASSUMPTIONS &amp; RISKS</t>
  </si>
  <si>
    <t>ASSUMPTION</t>
  </si>
  <si>
    <t>Estimates are based on high-level requirements; detailed analysis may adjust effort by ±20%.</t>
  </si>
  <si>
    <t>Client will provide timely feedback within 3 business days on shared deliverables.</t>
  </si>
  <si>
    <t>Third-party API credentials (maps, SMS, payment gateway) will be provided by client before Sprint 5.</t>
  </si>
  <si>
    <t>Cloud infrastructure account and access will be available by end of Week 2.</t>
  </si>
  <si>
    <t>UAT will be conducted by YCompany in a client-managed test environment.</t>
  </si>
  <si>
    <t>The scope covers web application and mobile-responsive web; native mobile app is out of scope.</t>
  </si>
  <si>
    <t>RISK</t>
  </si>
  <si>
    <t>Requirement changes after SRS sign-off will be handled via change request process.</t>
  </si>
  <si>
    <t>Third-party integration delays may impact delivery of Partner and Payment modules.</t>
  </si>
  <si>
    <t>Resource unavailability during peak sprints (S6–S9) could extend timeline.</t>
  </si>
  <si>
    <t>Performance SLA (99% under 5 seconds) is dependent on infrastructure sizing.</t>
  </si>
  <si>
    <t>Note: This rough work sheet is for internal planning reference only. Final estimates are driven by the Estimation sheet calculations.</t>
  </si>
  <si>
    <t>This estimation template is designed and developed to facilicate following:</t>
  </si>
  <si>
    <t>Get rid of all possibilities of formula errors</t>
  </si>
  <si>
    <t>Keep archiects focused on the process of 'estimation' itself and not on ensuring formula correctness and keeping tasks grouping intact</t>
  </si>
  <si>
    <t>Automating cost calculations</t>
  </si>
  <si>
    <t>Automating basic scheduling with minimum and mostly standard inputs</t>
  </si>
  <si>
    <t>Giving sales an opportuinity to play around with effort to reach desired costing without breaking the technical equilibrium</t>
  </si>
  <si>
    <t>Giving pre-sales a simpler interface to pick estimation details or summary for use in final proposal</t>
  </si>
  <si>
    <t>Giving MMs an easy and semi-automated and integrated worksheet for manual and optimized scheduling</t>
  </si>
  <si>
    <t>Top 15 Features</t>
  </si>
  <si>
    <t>There are tons of other features; which are very intutive and utilized on their own. Yet, you can have a look at</t>
  </si>
  <si>
    <t>FAQs</t>
  </si>
  <si>
    <t>for specific questions that</t>
  </si>
  <si>
    <t>you may have.</t>
  </si>
  <si>
    <t xml:space="preserve">If you still have more questions, send a mail at: </t>
  </si>
  <si>
    <t>vikas.burman@nagarro.com</t>
  </si>
  <si>
    <t>Multi-level Auto Numbering</t>
  </si>
  <si>
    <t>Consistent 2-level Automated Grouping</t>
  </si>
  <si>
    <t>It numbers and re-numbers tasks and activities</t>
  </si>
  <si>
    <t>Across all phases, it does consistent two level grouping</t>
  </si>
  <si>
    <t>automatically as you insert or remove items.</t>
  </si>
  <si>
    <t>of tasks and activities; automatically as you insert or remove</t>
  </si>
  <si>
    <t>Phase numbers are kept manual as this is generally fixed</t>
  </si>
  <si>
    <t xml:space="preserve">items. </t>
  </si>
  <si>
    <t xml:space="preserve">and rarely changes. </t>
  </si>
  <si>
    <t>Task groups don't have numbers by default, but you can</t>
  </si>
  <si>
    <t>A task group can bring in one level of logical seperation without</t>
  </si>
  <si>
    <t>do manual numbering, if you need.</t>
  </si>
  <si>
    <t>adding another level of grouping.</t>
  </si>
  <si>
    <t>Controlled Insert/Delete</t>
  </si>
  <si>
    <t>Since estimation sheet is password protected and does not allow adding/removing rows anywhere, it provieds simple command buttons to add tasks, activities and groups.</t>
  </si>
  <si>
    <t>Add Before button add a task when not inside/on a section/task; when inside a task or on an activity, it adds an activity</t>
  </si>
  <si>
    <t>Add After button do  the same as Add Before, but insert new item on top of current row</t>
  </si>
  <si>
    <t>Add Group adds a task group (can be used to define a module)</t>
  </si>
  <si>
    <t>Remove button deletes the current row (which could be an activity, task or task group)</t>
  </si>
  <si>
    <t>Move Up/Down buttons move current row up or down. Rows can cross phases as well.</t>
  </si>
  <si>
    <t>100% Automated Calculations</t>
  </si>
  <si>
    <t>Activities sum up at task level</t>
  </si>
  <si>
    <t xml:space="preserve">All regular summation and calculations are baked in 100% safe formulae, that cannot </t>
  </si>
  <si>
    <t>Tasks sum up at phase level</t>
  </si>
  <si>
    <t>be overwritten accidently or otherwise; as cells are protected.</t>
  </si>
  <si>
    <t>If task groups are inserted, tasks below a task group sum up at task group level.</t>
  </si>
  <si>
    <t>This also facilitate upto last change reflection in effort, schedule and costing</t>
  </si>
  <si>
    <t>The plase where a new task group is inserted, all tasks below that row untill</t>
  </si>
  <si>
    <t>updates.</t>
  </si>
  <si>
    <t>next task group or till the end of that phase, become part of that task group.</t>
  </si>
  <si>
    <t>Automated Basic Scheduling</t>
  </si>
  <si>
    <t>Given a start date and resource loading for each</t>
  </si>
  <si>
    <t>phase, it creates basic schedule automatically.</t>
  </si>
  <si>
    <t>Since focus of this template is not doing</t>
  </si>
  <si>
    <t>optimized scheduling, it integrates with</t>
  </si>
  <si>
    <t xml:space="preserve">possibility of doing manual scheduling </t>
  </si>
  <si>
    <t>as well.</t>
  </si>
  <si>
    <t>Costing Goes Hand-in-Hand</t>
  </si>
  <si>
    <t>Define role wise rates and let it calculate the cost</t>
  </si>
  <si>
    <t>as the estimation happens / changes are applied.</t>
  </si>
  <si>
    <t>Instantly!</t>
  </si>
  <si>
    <t xml:space="preserve">A summary of current cost always shows up </t>
  </si>
  <si>
    <t>on top.</t>
  </si>
  <si>
    <t>Graphical Effort Distribution</t>
  </si>
  <si>
    <t>Aggregated Effort Per Task</t>
  </si>
  <si>
    <t>Effort distribution per phase is shown</t>
  </si>
  <si>
    <t>graphically for easy comprehension.</t>
  </si>
  <si>
    <t>See aggregated effort (including requirement, design, testing, etc., per</t>
  </si>
  <si>
    <t>development task and task group). All automated.</t>
  </si>
  <si>
    <t>Ability to Add Buffer, Unit Testing, etc. Explicitely</t>
  </si>
  <si>
    <t xml:space="preserve">Add explicit overheads per task in a collapsable area - outside the WBS, </t>
  </si>
  <si>
    <t>to make your choices explicit.</t>
  </si>
  <si>
    <t>Sales have the final call!</t>
  </si>
  <si>
    <t xml:space="preserve">Increase / Decrease effort all over WBS without breaking the </t>
  </si>
  <si>
    <t xml:space="preserve">technical equilibrium - using given controls. </t>
  </si>
  <si>
    <t>Optinally marked items which are generally good to have</t>
  </si>
  <si>
    <t>Take it to Final Propsal</t>
  </si>
  <si>
    <t>can be excluded if need be.</t>
  </si>
  <si>
    <t>On a single click, take the WBS to final propsal as-is without breaking any formatting (as image).</t>
  </si>
  <si>
    <t>Choose between Full or Compact view (all / selective (predefined) ) colums</t>
  </si>
  <si>
    <t>Informative Edges</t>
  </si>
  <si>
    <t>Left edge shows various colored lines to indicate extras; e.g., if item has</t>
  </si>
  <si>
    <t xml:space="preserve">any error, or any effort markup is added (inside collapsable area). </t>
  </si>
  <si>
    <t>Right edge shows the specific error on the line, if any.</t>
  </si>
  <si>
    <t>Full Featured Estimation Area</t>
  </si>
  <si>
    <t>Define Unit name, count and complexity mix. Define effort for 1 medium unit. Rest is calculated. Take final judgement over calculated effort by adding/reducing on it.</t>
  </si>
  <si>
    <t>Extras such as Unit Testing, if chosen, also shows up.</t>
  </si>
  <si>
    <t>In-Place Review Area</t>
  </si>
  <si>
    <t>Review comments can be placed right inside the collapsable</t>
  </si>
  <si>
    <t xml:space="preserve">area. </t>
  </si>
  <si>
    <t>A yellow line indicate where all review comments are placed.</t>
  </si>
  <si>
    <t>This is helpful especially when looking with all closed rows.</t>
  </si>
  <si>
    <t>Finally, everything is configurable!</t>
  </si>
  <si>
    <t>Use pre-defined names or define your own, if you still get situations where you want to write formulae in your estimation.</t>
  </si>
  <si>
    <t>FOR ARCHITECTS</t>
  </si>
  <si>
    <t>Where do I define the RFP Name, Client Name, etc.?</t>
  </si>
  <si>
    <t>Open "Estimation Support Settings" section and you will see a lot of configuration options where you can define these. It will be updated automatically in a pre-defined</t>
  </si>
  <si>
    <t>format.</t>
  </si>
  <si>
    <t>It does not allow to insert a row. How do I add a row?</t>
  </si>
  <si>
    <t>Yes, the sheets are protected to ensure sanity of formulae. It allows adding Tasks and Activities using provided command buttons. Use Add Before, Add After or Add Group</t>
  </si>
  <si>
    <t>to add task, activities or task groups.</t>
  </si>
  <si>
    <t>How to delete a row?</t>
  </si>
  <si>
    <t>Use provided Remove button to remove currently selected row.</t>
  </si>
  <si>
    <t>It only supports two level of groupings, I need three or more levels.</t>
  </si>
  <si>
    <t>For sake of consistency across estimates, it allows only two collapsable levels of grouping. Yet it supports a logical non-collapsable third level called a Task group.</t>
  </si>
  <si>
    <t>A task group can be added above any task using Ctrl+Shift+G. A task group is intelligent to assume all tasks, till the next task group  or end of section, under it.</t>
  </si>
  <si>
    <t>This affects the summation of the task group effort.</t>
  </si>
  <si>
    <t>It does not allow copy/paste of rows. How do I move one row elsewhere?</t>
  </si>
  <si>
    <t>Since sheet is protected for discussed reasons, it does not allow copy/paste of rows.</t>
  </si>
  <si>
    <t>But it gives an easy way for moving tasks, activities and even task groups. Use Move Up or Move Down command buttons to move rows up or down.</t>
  </si>
  <si>
    <t>This means, activities can be moved in another task and even in another phase. Task groups can also move up or down and therefore be parent of a different set of tasks.</t>
  </si>
  <si>
    <t>I want to add a new section / phase?</t>
  </si>
  <si>
    <t>This supports only 6 phases. You can rename them as required. However if you really need 7th; you need to use a different template.</t>
  </si>
  <si>
    <t>It does not allow adding effort details for a task. Where do I put effort estimates?</t>
  </si>
  <si>
    <t>Effort estimates can be added only to an activity. A task is always a collection of activities. At minimum there will be one activity in one task.</t>
  </si>
  <si>
    <t>Certain rows do not get numbered automatically. Is this by design?</t>
  </si>
  <si>
    <t>Yes, sections  and Task groups are not numbered automatically for various reasons and should be typed in manually as required.</t>
  </si>
  <si>
    <t>For all other rows, numbers are generated and updated (on move, inserts, deletion) automatically.</t>
  </si>
  <si>
    <t>What each column mean and what I am supposed to write where?</t>
  </si>
  <si>
    <t>There are following columns and what each column mean:</t>
  </si>
  <si>
    <t>Number:</t>
  </si>
  <si>
    <t>This area is semi-editable and shows the section, task group, task and/or activity number. Numbers of only section and task group rows can be edited.</t>
  </si>
  <si>
    <t>Tasks:</t>
  </si>
  <si>
    <t>This area is editable and should define section name, task group name, task name or activity name, as the case may be. An activity can optionally have bullets for scope.</t>
  </si>
  <si>
    <t>RFP Mapping:</t>
  </si>
  <si>
    <t>Mapping with requirement document if any can be defined here.</t>
  </si>
  <si>
    <t>Unit:</t>
  </si>
  <si>
    <t>Unit section is to define unit of activity estimation.</t>
  </si>
  <si>
    <t>Name:</t>
  </si>
  <si>
    <t>Define a unit name here, e.g., Screen, Test Case, Report, % of X, etc.</t>
  </si>
  <si>
    <t>#:</t>
  </si>
  <si>
    <t>Define the number that represents the unit. If number is a % value, still define it as number. Add % in forumula, if required elsewhere.</t>
  </si>
  <si>
    <t>x N:</t>
  </si>
  <si>
    <t>Define how many cycles/set of Unit * Number are required. Generally this will be required only in few cases</t>
  </si>
  <si>
    <t>E.g., 3 Staging Releases where 5% of Dev time is required everytime, or 5 Screens to be tested on 7 Browsers</t>
  </si>
  <si>
    <t>Complexity %:</t>
  </si>
  <si>
    <t xml:space="preserve">There are three columns to define the complexity mix of the number that is defined in '#' column. </t>
  </si>
  <si>
    <t>E.g., If 20 Use Cases are defined, it's possible that we are assuming 25% as High, 50% as Medium and remaining 25% as Low</t>
  </si>
  <si>
    <t>Effort (PDs):</t>
  </si>
  <si>
    <t>This area represents calculated and worked-up effort estimate in PDs. This is NON-EDITABLE.</t>
  </si>
  <si>
    <t>Out of scope / Assumptions:</t>
  </si>
  <si>
    <t>This column lets you define any out of scope activities related to specific task, and relevant assumptions related to specific activity.</t>
  </si>
  <si>
    <t>Where do I put in effort estimates?</t>
  </si>
  <si>
    <t>Open the columns group using + symbol under "W" column.</t>
  </si>
  <si>
    <t>Following columns are visible now where you can work-out estimates for the activity. The details of each of these columns are:</t>
  </si>
  <si>
    <t>PDs / 1 Unit:</t>
  </si>
  <si>
    <t>This is where you should define how many PDs would it take to complete 1 Medium Complexity Unit of activity.</t>
  </si>
  <si>
    <t>E.g., If Unit was "Use Case", # was "20", Complexity Mix was H: 25%, M: 50%, L: 25%, if we define PDs / 1 Unit - it means the total effort for this acitivity would be:</t>
  </si>
  <si>
    <t>M: 50% of 20 = 10</t>
  </si>
  <si>
    <t>10 X 1 = 10 PDs</t>
  </si>
  <si>
    <t>H: 25% of 20 = 5</t>
  </si>
  <si>
    <t>5 X 1.5 = 7.5 PDs</t>
  </si>
  <si>
    <t>(more on this later in next FAQ)</t>
  </si>
  <si>
    <t>L: 25% of 20 = 5</t>
  </si>
  <si>
    <t>5 X .75 = 3.75 PDs</t>
  </si>
  <si>
    <t>21 PDs</t>
  </si>
  <si>
    <t>Calculated:</t>
  </si>
  <si>
    <t>This shows calculated effort based on given unit and unit-effort details. This is NON-EDITABLE.</t>
  </si>
  <si>
    <t>(+/-):</t>
  </si>
  <si>
    <t>Basic calculation based on given unit and size is done here; however for real judgement you can ADD or SUBTRACT any figure here.</t>
  </si>
  <si>
    <t>E.g., -2 in this column will make final effort to be used as 19 PDs instead of 21 PDs.</t>
  </si>
  <si>
    <t>4 in this column will make final effort to be used as 25 PDs instead of 21 PDs.</t>
  </si>
  <si>
    <t>This gives you finer control on estimation - which otherwise you would have (in unprotected / no-formula) sheet</t>
  </si>
  <si>
    <t>w Extras:</t>
  </si>
  <si>
    <t>This shows additionally added effort based on choices made for rows. This is NON-EDITABLE.</t>
  </si>
  <si>
    <t>This effort is added on +/- adjusted (calculated) effort.</t>
  </si>
  <si>
    <t>I define effort for Medium complexity activity. How does effort for High and Low complexity activities are calculated?</t>
  </si>
  <si>
    <t>This is configurable under "Estimation Support Settings -&gt; Complexity Impact" section.</t>
  </si>
  <si>
    <t>Default values are set to assume 50% more effort for a high complexity activity as compared to medium complexity one; and 25% less effort when it is low complexity acitivity.</t>
  </si>
  <si>
    <t>Generally you would not change it - but this is very much available for any change.</t>
  </si>
  <si>
    <t>What Extras are available to add to estimates?</t>
  </si>
  <si>
    <t>Open the "Choices and Notes" section in extreme left using "&lt;--" or "+" under "F" column.</t>
  </si>
  <si>
    <t>It shows following columns:</t>
  </si>
  <si>
    <t>Add Buffer:</t>
  </si>
  <si>
    <t>It gives three choices Low, Medium and High. Selecting any one, will add certain % of buffer in the final effort shown.</t>
  </si>
  <si>
    <t>Calculated effort will not be impacted. This value is added on final effort (including any Extras effort).</t>
  </si>
  <si>
    <t>Again, these Low, Medium and High % values are configurable under "Estimation Support Settings --&gt; Buffer Types" section.</t>
  </si>
  <si>
    <t>Extras:</t>
  </si>
  <si>
    <t>This shows choices like Unit Testing, Unknowns, etc. These values (names) and associated % values are configurable under "Estimation Support Settings - Extras" section.</t>
  </si>
  <si>
    <t>This effort is added on top of calculated effort which might have reduced using -N value.</t>
  </si>
  <si>
    <t>There are few more columns in Choices and Notes section. What are these?</t>
  </si>
  <si>
    <t>Yes, there are few more. These are:</t>
  </si>
  <si>
    <t>Mark as Optional:</t>
  </si>
  <si>
    <t>At times we need to include certain tasks which are not part of the given requirements but are advisable to have.</t>
  </si>
  <si>
    <t>It was a problem, because if we add those, estimates used to go high and if we don't add them we were assumed to have not thought of those.</t>
  </si>
  <si>
    <t>Not anymore. Now all such "seemingly-out-of-scope-but-recommended-to-have" type of tasks can be added and marked as optional by choosing "Yes" in this column.</t>
  </si>
  <si>
    <t>This ensures that we do cover everything. At the same time, Sales can make a informative judgements without breaking overall sanity of the estimation / wbs.</t>
  </si>
  <si>
    <t>Sales has a top level "Optionals: Include/Exclude" choice which includes or excludes all optionally marked activities.</t>
  </si>
  <si>
    <t>Exclude:</t>
  </si>
  <si>
    <t>To exclude a specific optional / non-optional activity, choose 'Yes" for this column and it will be marked as excluded.</t>
  </si>
  <si>
    <t>All excluded rows *do not* get added in total effort, schedule or cost.</t>
  </si>
  <si>
    <t>Notes:</t>
  </si>
  <si>
    <t>While iterating over estimate, while reviewing etc. This column comes handy and allows writing any sort of notes for the in-progress version of the document.</t>
  </si>
  <si>
    <t>At times, it shows some colored lines on extreme left - what does these mean?</t>
  </si>
  <si>
    <t>Yes, it shows following colored lines:</t>
  </si>
  <si>
    <t>Red:</t>
  </si>
  <si>
    <t>Depicts that either there is some error on this line, or the activity is excluded. Check out the error details on extreme right column.</t>
  </si>
  <si>
    <t>Orange:</t>
  </si>
  <si>
    <t>Depicts that activity is marked as optional.</t>
  </si>
  <si>
    <t>Blue:</t>
  </si>
  <si>
    <t>Marks that "Buffer" is added.</t>
  </si>
  <si>
    <t>Magenta:</t>
  </si>
  <si>
    <t>Marks that "Extras" is added.</t>
  </si>
  <si>
    <t>Yellow:</t>
  </si>
  <si>
    <t>Depicts that some notes / review comments exists on this line.</t>
  </si>
  <si>
    <t>Calculated effort is showing less / more effort than calculated one. I have not even added any extras or buffer. Why?</t>
  </si>
  <si>
    <t xml:space="preserve">There is a "Sales Call Scale" on top which lets Sales to increase/reduce effort per activity level all at once. </t>
  </si>
  <si>
    <t>Ensure that selection is set to "No Change". Thereafter there should not be any seemingly incorrect effort.</t>
  </si>
  <si>
    <t>I have to calculate some effort based on total development effort. How do I do that?</t>
  </si>
  <si>
    <t>There are special names that can be used in your own formule. All these names are written in "Estimation Support Settings" section.</t>
  </si>
  <si>
    <t>There are some special names as well, e.g., "As Dev Effort %", this can be used in "Unit Name" columm and "#" column can define the "%" value (as number).</t>
  </si>
  <si>
    <t>This will automatically put the effort as #% of Development Effort.</t>
  </si>
  <si>
    <t>FOR PRESALES / MMs</t>
  </si>
  <si>
    <t>I want to configure automated scheduling for better. How do I do that?</t>
  </si>
  <si>
    <t>Automated scheduling works based on following three:</t>
  </si>
  <si>
    <t>Role wise distribution / phase: Define a % value for each role. Not all roles will be involved in each phases. This is a generic and average figure.</t>
  </si>
  <si>
    <t>Role wise resource count / phase: Define number of resources that should be put in each phase for each role. This is again an average value.</t>
  </si>
  <si>
    <t>Start next phase after %: This brings in some parrallism, by defining when to start next phase in relation of previous phase completion %.</t>
  </si>
  <si>
    <t>E.g., start designing phase after 75% of requirement phase is done.</t>
  </si>
  <si>
    <t>By playing around with these numbers, and optimizing these values, automated scheduling can be configured for better. However please note:</t>
  </si>
  <si>
    <t>Automated scheduling does not do fully-optimized parallel execution / resource loading.</t>
  </si>
  <si>
    <t xml:space="preserve">It should be used to get a tentative idea of end date. </t>
  </si>
  <si>
    <t>Manual scheduling will always give better visibility of end date.</t>
  </si>
  <si>
    <t>I have done manual scheduling - but the project management effort is not updated as per new schedule duration. Why?</t>
  </si>
  <si>
    <t>Project Management Activity is generally added in Others section with "As Duration %" unit name and "#" as project manager's expected allocation % number.</t>
  </si>
  <si>
    <t>This takes the defined "Start Date" and defined "End Date" on "Schedule" sheet in consideration to get the duration of the project. And uses the defined % of</t>
  </si>
  <si>
    <t xml:space="preserve">calculated net working days between these two dates. </t>
  </si>
  <si>
    <t>So if any of the above is not done, this will not calculate well. Fix the missing piece and it will work.</t>
  </si>
  <si>
    <t>I want to update rates for correct cost calculation. Where do I do that?</t>
  </si>
  <si>
    <t>Open "Price and Basic Scheduling" section and look for "Role wise Rates" section where you can update these rates. Updating these rates, updates all costing automatically.</t>
  </si>
  <si>
    <t>It is showing currency as USD only. How do I change currency?</t>
  </si>
  <si>
    <t>"Estimation Support Settings" section has "Currency" dropdown to choose currency.</t>
  </si>
  <si>
    <t>I want to take the WBS summary in final proposal document. How do I do that?</t>
  </si>
  <si>
    <t>For WBS Summary, goto "Functional Breakdown Summary" section and refresh the list. This shows the list of all task groups and tasks with cumulative effort and cost</t>
  </si>
  <si>
    <t>of all phases. This can directly be copied/pasted in final proposal.</t>
  </si>
  <si>
    <t>I want to take full WBS in final proposal document. How do I do that?</t>
  </si>
  <si>
    <t>For whole of WBS, if you would copy/paste as is, you would need to do certain amount of formatting, as there are several intersparsed thin and empty rows in here.</t>
  </si>
  <si>
    <t>To make it simple and ensure formatting does not break, it provides an image copy option. There are two modes available: Full and Compact which picks different</t>
  </si>
  <si>
    <t xml:space="preserve">set of columns. This will copy entire WBS as one single image. In final proposal, you might need to paste it on few pages and crop-show only relevant areas. </t>
  </si>
  <si>
    <t>For proposal, generally the Compact view would be suitable.</t>
  </si>
  <si>
    <t>FOR SALES</t>
  </si>
  <si>
    <t>I want to squeeze the effort to bare minimum. How do I do that?</t>
  </si>
  <si>
    <t>Effort that we do generally have some buffer built into it, either explicitely (in buffer column) or otherwise.</t>
  </si>
  <si>
    <t>To remove the buffer, it is recommended that Sales Call scale should be set to "Minimize". This applies the reduction in all tasks on a predefined % that was set</t>
  </si>
  <si>
    <t>by the person who did the estimation; keeeping the complexity in mind.</t>
  </si>
  <si>
    <t>To increase the effort to maximum possible, set the scale to "Maximize" which increases it to maximum justifiable level.</t>
  </si>
  <si>
    <t>I want to increase / decrease effort by a specified %. Can this be done?</t>
  </si>
  <si>
    <t xml:space="preserve">Yes this can be done, however technical justification beyond defined minimum / maximum % might not be feasible. </t>
  </si>
  <si>
    <t>To increase / decrease, choose "Increase by:" or "Decrease by:" option on "Sales Call" scale and define required % value right next to it.</t>
  </si>
  <si>
    <t xml:space="preserve">It will apply changes all over, including automated schedule. </t>
  </si>
  <si>
    <t>Note: Manual schedule and Project Management effort (if added as Duration %) will remain as is, since that is a manual activity.</t>
  </si>
  <si>
    <t>I want to exclude all optionals in order to keep tasks to bare minimum. How do I do that?</t>
  </si>
  <si>
    <t>Have a look at the left area in WBS. Are there any Orange lines? If yes, this means, there are opitonally marked items. Set the "Optionals" choice on top to</t>
  </si>
  <si>
    <t xml:space="preserve">"Exclude" and it will remove the effort for optional tasks. </t>
  </si>
  <si>
    <t>Whenever this is changes, all effort, costing and schedule is updated. Note: Manual schedule will have no impact of this change and will need to be redone.</t>
  </si>
  <si>
    <t>FOR ALL</t>
  </si>
  <si>
    <t>I am looking for something else, this is not mentioned here. Where to look for?</t>
  </si>
  <si>
    <t>Please send me a mail at vikas.burman@nagarro.com and I will address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</si>
</sst>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0"/>
    <numFmt numFmtId="165" formatCode="[$-409]d\-mmm;@"/>
    <numFmt numFmtId="166" formatCode="_(* #,##0_);_(* \(#,##0\);_(* &quot;-&quot;??_);_(@_)"/>
  </numFmts>
  <fonts count="101" x14ac:knownFonts="1">
    <font>
      <sz val="11"/>
      <color theme="1"/>
      <name val="Calibri"/>
      <family val="2"/>
      <scheme val="minor"/>
    </font>
    <font>
      <sz val="11"/>
      <color theme="1"/>
      <name val="Calibri"/>
      <family val="2"/>
      <scheme val="minor"/>
    </font>
    <font>
      <b/>
      <sz val="11"/>
      <color theme="1"/>
      <name val="Calibri"/>
      <family val="2"/>
      <scheme val="minor"/>
    </font>
    <font>
      <sz val="11"/>
      <color theme="2" tint="-0.249977111117893"/>
      <name val="Calibri"/>
      <family val="2"/>
      <scheme val="minor"/>
    </font>
    <font>
      <sz val="8"/>
      <color rgb="FFC00000"/>
      <name val="Calibri"/>
      <family val="2"/>
      <scheme val="minor"/>
    </font>
    <font>
      <sz val="14"/>
      <color theme="1"/>
      <name val="Calibri"/>
      <family val="2"/>
      <scheme val="minor"/>
    </font>
    <font>
      <sz val="14"/>
      <color theme="4" tint="-0.499984740745262"/>
      <name val="Calibri"/>
      <family val="2"/>
      <scheme val="minor"/>
    </font>
    <font>
      <b/>
      <sz val="12"/>
      <color theme="8" tint="-0.249977111117893"/>
      <name val="Calibri"/>
      <family val="2"/>
      <scheme val="minor"/>
    </font>
    <font>
      <sz val="12"/>
      <color theme="8" tint="-0.249977111117893"/>
      <name val="Calibri"/>
      <family val="2"/>
      <scheme val="minor"/>
    </font>
    <font>
      <sz val="11"/>
      <color theme="4" tint="0.79998168889431442"/>
      <name val="Calibri"/>
      <family val="2"/>
      <scheme val="minor"/>
    </font>
    <font>
      <b/>
      <sz val="11"/>
      <color theme="9" tint="-0.499984740745262"/>
      <name val="Calibri"/>
      <family val="2"/>
      <scheme val="minor"/>
    </font>
    <font>
      <i/>
      <sz val="11"/>
      <color rgb="FFFF0000"/>
      <name val="Calibri"/>
      <family val="2"/>
      <scheme val="minor"/>
    </font>
    <font>
      <sz val="16"/>
      <color theme="9" tint="-0.499984740745262"/>
      <name val="Calibri"/>
      <family val="2"/>
      <scheme val="minor"/>
    </font>
    <font>
      <b/>
      <sz val="16"/>
      <color theme="9" tint="-0.499984740745262"/>
      <name val="Calibri"/>
      <family val="2"/>
      <scheme val="minor"/>
    </font>
    <font>
      <b/>
      <sz val="11"/>
      <name val="Calibri"/>
      <family val="2"/>
      <scheme val="minor"/>
    </font>
    <font>
      <sz val="11"/>
      <color rgb="FFFF0000"/>
      <name val="Calibri"/>
      <family val="2"/>
      <scheme val="minor"/>
    </font>
    <font>
      <sz val="20"/>
      <color theme="9" tint="0.79998168889431442"/>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70C0"/>
      <name val="Calibri"/>
      <family val="2"/>
      <scheme val="minor"/>
    </font>
    <font>
      <i/>
      <sz val="11"/>
      <color theme="8" tint="-0.249977111117893"/>
      <name val="Calibri"/>
      <family val="2"/>
      <scheme val="minor"/>
    </font>
    <font>
      <b/>
      <sz val="14"/>
      <color theme="5" tint="-0.249977111117893"/>
      <name val="Calibri"/>
      <family val="2"/>
      <scheme val="minor"/>
    </font>
    <font>
      <i/>
      <sz val="12"/>
      <color rgb="FF0070C0"/>
      <name val="Calibri"/>
      <family val="2"/>
      <scheme val="minor"/>
    </font>
    <font>
      <sz val="14"/>
      <color rgb="FF0070C0"/>
      <name val="Calibri"/>
      <family val="2"/>
      <scheme val="minor"/>
    </font>
    <font>
      <sz val="11"/>
      <color theme="8"/>
      <name val="Calibri"/>
      <family val="2"/>
      <scheme val="minor"/>
    </font>
    <font>
      <sz val="12"/>
      <color rgb="FFFF0000"/>
      <name val="Calibri"/>
      <family val="2"/>
      <scheme val="minor"/>
    </font>
    <font>
      <b/>
      <sz val="12"/>
      <color theme="9"/>
      <name val="Calibri"/>
      <family val="2"/>
      <scheme val="minor"/>
    </font>
    <font>
      <b/>
      <sz val="12"/>
      <color theme="8" tint="-0.249977111117893"/>
      <name val="Calibri"/>
      <family val="2"/>
    </font>
    <font>
      <sz val="8"/>
      <color theme="0" tint="-0.14999847407452621"/>
      <name val="Calibri"/>
      <family val="2"/>
      <scheme val="minor"/>
    </font>
    <font>
      <sz val="9"/>
      <color theme="2" tint="-0.499984740745262"/>
      <name val="Calibri"/>
      <family val="2"/>
      <scheme val="minor"/>
    </font>
    <font>
      <b/>
      <sz val="11"/>
      <color theme="0"/>
      <name val="Calibri"/>
      <family val="2"/>
      <scheme val="minor"/>
    </font>
    <font>
      <sz val="18"/>
      <color theme="1"/>
      <name val="Calibri"/>
      <family val="2"/>
      <scheme val="minor"/>
    </font>
    <font>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rgb="FFC00000"/>
      <name val="Calibri"/>
      <family val="2"/>
    </font>
    <font>
      <sz val="10"/>
      <color rgb="FFC00000"/>
      <name val="Calibri"/>
      <family val="2"/>
    </font>
    <font>
      <sz val="11"/>
      <color rgb="FFC00000"/>
      <name val="Calibri"/>
      <family val="2"/>
      <scheme val="minor"/>
    </font>
    <font>
      <b/>
      <sz val="11"/>
      <color theme="8" tint="-0.499984740745262"/>
      <name val="Calibri"/>
      <family val="2"/>
      <scheme val="minor"/>
    </font>
    <font>
      <i/>
      <sz val="11"/>
      <color theme="1"/>
      <name val="Calibri"/>
      <family val="2"/>
      <scheme val="minor"/>
    </font>
    <font>
      <sz val="9"/>
      <color theme="1"/>
      <name val="Calibri"/>
      <family val="2"/>
      <scheme val="minor"/>
    </font>
    <font>
      <sz val="14"/>
      <color theme="5" tint="-0.249977111117893"/>
      <name val="Calibri"/>
      <family val="2"/>
      <scheme val="minor"/>
    </font>
    <font>
      <sz val="11"/>
      <color theme="5" tint="-0.249977111117893"/>
      <name val="Calibri"/>
      <family val="2"/>
      <scheme val="minor"/>
    </font>
    <font>
      <i/>
      <sz val="12"/>
      <color theme="7" tint="0.79998168889431442"/>
      <name val="Calibri"/>
      <family val="2"/>
      <scheme val="minor"/>
    </font>
    <font>
      <u/>
      <sz val="14"/>
      <color rgb="FF0070C0"/>
      <name val="Calibri"/>
      <family val="2"/>
      <scheme val="minor"/>
    </font>
    <font>
      <sz val="12"/>
      <color rgb="FF0070C0"/>
      <name val="Calibri"/>
      <family val="2"/>
      <scheme val="minor"/>
    </font>
    <font>
      <b/>
      <sz val="11"/>
      <color rgb="FF0070C0"/>
      <name val="Calibri"/>
      <family val="2"/>
      <scheme val="minor"/>
    </font>
    <font>
      <b/>
      <sz val="10"/>
      <color theme="8" tint="-0.499984740745262"/>
      <name val="Calibri"/>
      <family val="2"/>
      <scheme val="minor"/>
    </font>
    <font>
      <sz val="12"/>
      <color theme="4"/>
      <name val="Calibri"/>
      <family val="2"/>
      <scheme val="minor"/>
    </font>
    <font>
      <b/>
      <sz val="14"/>
      <color theme="4" tint="-0.499984740745262"/>
      <name val="Calibri"/>
      <family val="2"/>
      <scheme val="minor"/>
    </font>
    <font>
      <b/>
      <sz val="22"/>
      <color theme="1"/>
      <name val="Calibri"/>
      <family val="2"/>
      <scheme val="minor"/>
    </font>
    <font>
      <sz val="12"/>
      <color theme="0" tint="-4.9989318521683403E-2"/>
      <name val="Calibri"/>
      <family val="2"/>
      <scheme val="minor"/>
    </font>
    <font>
      <sz val="14"/>
      <color theme="4" tint="0.59999389629810485"/>
      <name val="Calibri"/>
      <family val="2"/>
      <scheme val="minor"/>
    </font>
    <font>
      <b/>
      <sz val="12"/>
      <color rgb="FFFF00FF"/>
      <name val="Calibri"/>
      <family val="2"/>
    </font>
    <font>
      <b/>
      <sz val="12"/>
      <color rgb="FFFF00FF"/>
      <name val="Calibri"/>
      <family val="2"/>
      <scheme val="minor"/>
    </font>
    <font>
      <b/>
      <sz val="12"/>
      <color theme="10"/>
      <name val="Calibri"/>
      <family val="2"/>
      <scheme val="minor"/>
    </font>
    <font>
      <b/>
      <sz val="11"/>
      <color rgb="FFCC00CC"/>
      <name val="Calibri"/>
      <family val="2"/>
      <scheme val="minor"/>
    </font>
    <font>
      <sz val="11"/>
      <color theme="1"/>
      <name val="Calibri"/>
      <family val="2"/>
    </font>
    <font>
      <sz val="11"/>
      <name val="Calibri"/>
      <family val="2"/>
      <scheme val="minor"/>
    </font>
    <font>
      <i/>
      <sz val="10"/>
      <color theme="1"/>
      <name val="Calibri"/>
      <family val="2"/>
      <scheme val="minor"/>
    </font>
    <font>
      <b/>
      <i/>
      <sz val="11"/>
      <color theme="8" tint="-0.249977111117893"/>
      <name val="Calibri"/>
      <family val="2"/>
      <scheme val="minor"/>
    </font>
    <font>
      <b/>
      <i/>
      <sz val="10"/>
      <color theme="8" tint="-0.249977111117893"/>
      <name val="Calibri"/>
      <family val="2"/>
      <scheme val="minor"/>
    </font>
    <font>
      <b/>
      <sz val="14"/>
      <color rgb="FFFF0000"/>
      <name val="Calibri"/>
      <family val="2"/>
      <scheme val="minor"/>
    </font>
    <font>
      <b/>
      <u/>
      <sz val="18"/>
      <color rgb="FF00B0F0"/>
      <name val="Calibri"/>
      <family val="2"/>
      <scheme val="minor"/>
    </font>
    <font>
      <u/>
      <sz val="11"/>
      <color rgb="FF0070C0"/>
      <name val="Calibri"/>
      <family val="2"/>
      <scheme val="minor"/>
    </font>
    <font>
      <b/>
      <sz val="16"/>
      <name val="Calibri"/>
      <family val="2"/>
      <scheme val="minor"/>
    </font>
    <font>
      <b/>
      <sz val="16"/>
      <color theme="4"/>
      <name val="Calibri"/>
      <family val="2"/>
      <scheme val="minor"/>
    </font>
    <font>
      <b/>
      <sz val="16"/>
      <color theme="5"/>
      <name val="Calibri"/>
      <family val="2"/>
      <scheme val="minor"/>
    </font>
    <font>
      <sz val="16"/>
      <color theme="5"/>
      <name val="Calibri"/>
      <family val="2"/>
      <scheme val="minor"/>
    </font>
    <font>
      <b/>
      <sz val="16"/>
      <color rgb="FFC00000"/>
      <name val="Calibri"/>
      <family val="2"/>
      <scheme val="minor"/>
    </font>
    <font>
      <b/>
      <u/>
      <sz val="14"/>
      <color rgb="FFFF00FF"/>
      <name val="Calibri"/>
      <family val="2"/>
      <scheme val="minor"/>
    </font>
    <font>
      <sz val="11"/>
      <color theme="8" tint="-0.249977111117893"/>
      <name val="Calibri"/>
      <family val="2"/>
      <scheme val="minor"/>
    </font>
    <font>
      <b/>
      <sz val="11"/>
      <color rgb="FFFF0000"/>
      <name val="Calibri"/>
      <family val="2"/>
      <scheme val="minor"/>
    </font>
    <font>
      <sz val="8"/>
      <color rgb="FF0070C0"/>
      <name val="Calibri"/>
      <family val="2"/>
      <scheme val="minor"/>
    </font>
    <font>
      <b/>
      <sz val="8"/>
      <color theme="0" tint="-0.14999847407452621"/>
      <name val="Calibri"/>
      <family val="2"/>
      <scheme val="minor"/>
    </font>
    <font>
      <b/>
      <sz val="13"/>
      <color rgb="FFFFFFFF"/>
      <name val="Calibri"/>
      <family val="2"/>
    </font>
    <font>
      <sz val="10"/>
      <color rgb="FF555555"/>
      <name val="Calibri"/>
      <family val="2"/>
    </font>
    <font>
      <b/>
      <sz val="11"/>
      <color rgb="FFFFFFFF"/>
      <name val="Calibri"/>
      <family val="2"/>
    </font>
    <font>
      <b/>
      <sz val="9"/>
      <color rgb="FFFFFFFF"/>
      <name val="Calibri"/>
      <family val="2"/>
    </font>
    <font>
      <b/>
      <sz val="10"/>
      <color rgb="FF1A2332"/>
      <name val="Calibri"/>
      <family val="2"/>
    </font>
    <font>
      <sz val="10"/>
      <color rgb="FF1A2332"/>
      <name val="Calibri"/>
      <family val="2"/>
    </font>
    <font>
      <b/>
      <sz val="12"/>
      <color rgb="FF2E5DA6"/>
      <name val="Calibri"/>
      <family val="2"/>
    </font>
    <font>
      <b/>
      <sz val="12"/>
      <color rgb="FFCCCCCC"/>
      <name val="Calibri"/>
      <family val="2"/>
    </font>
    <font>
      <sz val="9"/>
      <color rgb="FF444444"/>
      <name val="Calibri"/>
      <family val="2"/>
    </font>
    <font>
      <sz val="10"/>
      <color rgb="FF444444"/>
      <name val="Calibri"/>
      <family val="2"/>
    </font>
    <font>
      <sz val="9"/>
      <color rgb="FF2E5DA6"/>
      <name val="Calibri"/>
      <family val="2"/>
    </font>
    <font>
      <sz val="9"/>
      <color rgb="FF333333"/>
      <name val="Calibri"/>
      <family val="2"/>
    </font>
    <font>
      <b/>
      <sz val="9"/>
      <color rgb="FF2E5DA6"/>
      <name val="Calibri"/>
      <family val="2"/>
    </font>
    <font>
      <sz val="9"/>
      <color rgb="FFCCCCCC"/>
      <name val="Calibri"/>
      <family val="2"/>
    </font>
    <font>
      <b/>
      <sz val="9"/>
      <color rgb="FF1A2332"/>
      <name val="Calibri"/>
      <family val="2"/>
    </font>
    <font>
      <sz val="9"/>
      <color rgb="FF1A2332"/>
      <name val="Calibri"/>
      <family val="2"/>
    </font>
    <font>
      <b/>
      <sz val="10"/>
      <color rgb="FFFFFFFF"/>
      <name val="Calibri"/>
      <family val="2"/>
    </font>
    <font>
      <b/>
      <sz val="9"/>
      <color rgb="FF2471A3"/>
      <name val="Calibri"/>
      <family val="2"/>
    </font>
    <font>
      <b/>
      <sz val="9"/>
      <color rgb="FFC0392B"/>
      <name val="Calibri"/>
      <family val="2"/>
    </font>
    <font>
      <sz val="9"/>
      <color rgb="FF888888"/>
      <name val="Calibri"/>
      <family val="2"/>
    </font>
    <font>
      <sz val="11"/>
      <color rgb="FF000000"/>
      <name val="Calibri"/>
      <family val="2"/>
      <scheme val="minor"/>
    </font>
    <font>
      <sz val="11"/>
      <color theme="0"/>
      <name val="Calibri"/>
      <family val="2"/>
      <scheme val="minor"/>
    </font>
    <font>
      <b/>
      <sz val="10"/>
      <color theme="0"/>
      <name val="Calibri"/>
      <family val="2"/>
    </font>
    <font>
      <b/>
      <sz val="11"/>
      <color theme="0"/>
      <name val="Calibri"/>
      <family val="2"/>
    </font>
  </fonts>
  <fills count="31">
    <fill>
      <patternFill patternType="none"/>
    </fill>
    <fill>
      <patternFill patternType="gray125"/>
    </fill>
    <fill>
      <patternFill patternType="solid">
        <fgColor theme="0" tint="-4.9989318521683403E-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5F9FD"/>
        <bgColor indexed="64"/>
      </patternFill>
    </fill>
    <fill>
      <patternFill patternType="solid">
        <fgColor indexed="65"/>
        <bgColor indexed="64"/>
      </patternFill>
    </fill>
    <fill>
      <patternFill patternType="solid">
        <fgColor theme="0"/>
        <bgColor indexed="64"/>
      </patternFill>
    </fill>
    <fill>
      <gradientFill degree="90">
        <stop position="0">
          <color theme="2" tint="-0.25095370342112489"/>
        </stop>
        <stop position="1">
          <color theme="2" tint="-9.8025452436902985E-2"/>
        </stop>
      </gradientFill>
    </fill>
    <fill>
      <gradientFill degree="270">
        <stop position="0">
          <color theme="2" tint="-0.25095370342112489"/>
        </stop>
        <stop position="1">
          <color theme="2" tint="-9.8025452436902985E-2"/>
        </stop>
      </gradientFill>
    </fill>
    <fill>
      <patternFill patternType="solid">
        <fgColor theme="4" tint="0.79998168889431442"/>
        <bgColor auto="1"/>
      </patternFill>
    </fill>
    <fill>
      <patternFill patternType="solid">
        <fgColor theme="0" tint="-0.14999847407452621"/>
        <bgColor indexed="64"/>
      </patternFill>
    </fill>
    <fill>
      <patternFill patternType="solid">
        <fgColor rgb="FFF9F9F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79998168889431442"/>
        <bgColor auto="1"/>
      </patternFill>
    </fill>
    <fill>
      <patternFill patternType="solid">
        <fgColor rgb="FFC00000"/>
        <bgColor indexed="64"/>
      </patternFill>
    </fill>
    <fill>
      <patternFill patternType="solid">
        <fgColor rgb="FFFF9999"/>
        <bgColor indexed="64"/>
      </patternFill>
    </fill>
    <fill>
      <patternFill patternType="solid">
        <fgColor rgb="FF92D050"/>
        <bgColor indexed="64"/>
      </patternFill>
    </fill>
    <fill>
      <patternFill patternType="solid">
        <fgColor theme="9" tint="0.39997558519241921"/>
        <bgColor indexed="64"/>
      </patternFill>
    </fill>
    <fill>
      <patternFill patternType="solid">
        <fgColor theme="7"/>
        <bgColor indexed="64"/>
      </patternFill>
    </fill>
    <fill>
      <patternFill patternType="solid">
        <fgColor rgb="FF00B0F0"/>
        <bgColor indexed="64"/>
      </patternFill>
    </fill>
    <fill>
      <patternFill patternType="solid">
        <fgColor theme="7" tint="-0.249977111117893"/>
        <bgColor indexed="64"/>
      </patternFill>
    </fill>
    <fill>
      <gradientFill degree="270">
        <stop position="0">
          <color theme="7" tint="0.80001220740379042"/>
        </stop>
        <stop position="1">
          <color theme="7" tint="0.59999389629810485"/>
        </stop>
      </gradientFill>
    </fill>
    <fill>
      <patternFill patternType="solid">
        <fgColor theme="4" tint="0.59999389629810485"/>
        <bgColor indexed="64"/>
      </patternFill>
    </fill>
    <fill>
      <patternFill patternType="solid">
        <fgColor rgb="FFFFF6DD"/>
        <bgColor indexed="64"/>
      </patternFill>
    </fill>
    <fill>
      <patternFill patternType="solid">
        <fgColor theme="4" tint="0.39997558519241921"/>
        <bgColor indexed="64"/>
      </patternFill>
    </fill>
    <fill>
      <patternFill patternType="solid">
        <fgColor rgb="FF1A2332"/>
      </patternFill>
    </fill>
    <fill>
      <patternFill patternType="solid">
        <fgColor rgb="FF2E5DA6"/>
      </patternFill>
    </fill>
    <fill>
      <patternFill patternType="solid">
        <fgColor rgb="FF4472C4"/>
      </patternFill>
    </fill>
    <fill>
      <patternFill patternType="solid">
        <fgColor theme="1"/>
        <bgColor indexed="64"/>
      </patternFill>
    </fill>
  </fills>
  <borders count="28">
    <border>
      <left/>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hair">
        <color auto="1"/>
      </bottom>
      <diagonal/>
    </border>
    <border>
      <left/>
      <right style="thin">
        <color indexed="64"/>
      </right>
      <top/>
      <bottom style="thin">
        <color indexed="64"/>
      </bottom>
      <diagonal/>
    </border>
    <border>
      <left/>
      <right/>
      <top/>
      <bottom style="thin">
        <color indexed="64"/>
      </bottom>
      <diagonal/>
    </border>
    <border>
      <left style="hair">
        <color indexed="64"/>
      </left>
      <right/>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style="hair">
        <color auto="1"/>
      </right>
      <top style="hair">
        <color auto="1"/>
      </top>
      <bottom style="hair">
        <color auto="1"/>
      </bottom>
      <diagonal/>
    </border>
    <border>
      <left/>
      <right style="hair">
        <color auto="1"/>
      </right>
      <top/>
      <bottom/>
      <diagonal/>
    </border>
    <border>
      <left/>
      <right style="hair">
        <color auto="1"/>
      </right>
      <top/>
      <bottom style="hair">
        <color auto="1"/>
      </bottom>
      <diagonal/>
    </border>
    <border>
      <left style="hair">
        <color auto="1"/>
      </left>
      <right/>
      <top/>
      <bottom/>
      <diagonal/>
    </border>
    <border>
      <left style="thin">
        <color indexed="64"/>
      </left>
      <right style="thin">
        <color indexed="64"/>
      </right>
      <top/>
      <bottom/>
      <diagonal/>
    </border>
    <border>
      <left/>
      <right style="hair">
        <color auto="1"/>
      </right>
      <top style="hair">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hair">
        <color auto="1"/>
      </left>
      <right style="hair">
        <color auto="1"/>
      </right>
      <top/>
      <bottom style="hair">
        <color auto="1"/>
      </bottom>
      <diagonal/>
    </border>
    <border>
      <left style="thin">
        <color indexed="64"/>
      </left>
      <right style="thin">
        <color indexed="64"/>
      </right>
      <top/>
      <bottom style="thin">
        <color indexed="64"/>
      </bottom>
      <diagonal/>
    </border>
    <border>
      <left style="hair">
        <color auto="1"/>
      </left>
      <right/>
      <top/>
      <bottom style="hair">
        <color auto="1"/>
      </bottom>
      <diagonal/>
    </border>
    <border>
      <left style="hair">
        <color indexed="64"/>
      </left>
      <right style="hair">
        <color auto="1"/>
      </right>
      <top/>
      <bottom style="hair">
        <color auto="1"/>
      </bottom>
      <diagonal/>
    </border>
    <border>
      <left style="thin">
        <color rgb="FFBBBBBB"/>
      </left>
      <right style="thin">
        <color rgb="FFBBBBBB"/>
      </right>
      <top style="thin">
        <color rgb="FFBBBBBB"/>
      </top>
      <bottom style="thin">
        <color rgb="FFBBBBBB"/>
      </bottom>
      <diagonal/>
    </border>
    <border>
      <left/>
      <right style="thin">
        <color rgb="FFBBBBBB"/>
      </right>
      <top style="thin">
        <color rgb="FFBBBBBB"/>
      </top>
      <bottom style="thin">
        <color rgb="FFBBBBBB"/>
      </bottom>
      <diagonal/>
    </border>
    <border>
      <left/>
      <right/>
      <top style="thin">
        <color rgb="FFBBBBBB"/>
      </top>
      <bottom style="thin">
        <color rgb="FFBBBBBB"/>
      </bottom>
      <diagonal/>
    </border>
    <border>
      <left style="thin">
        <color rgb="FFBBBBBB"/>
      </left>
      <right/>
      <top style="thin">
        <color rgb="FFBBBBBB"/>
      </top>
      <bottom style="thin">
        <color rgb="FFBBBBBB"/>
      </bottom>
      <diagonal/>
    </border>
  </borders>
  <cellStyleXfs count="4">
    <xf numFmtId="0" fontId="0" fillId="0" borderId="0"/>
    <xf numFmtId="43" fontId="1" fillId="0" borderId="0"/>
    <xf numFmtId="9" fontId="1" fillId="0" borderId="0"/>
    <xf numFmtId="0" fontId="20" fillId="0" borderId="0"/>
  </cellStyleXfs>
  <cellXfs count="377">
    <xf numFmtId="0" fontId="0" fillId="0" borderId="0" xfId="0"/>
    <xf numFmtId="0" fontId="2" fillId="0" borderId="0" xfId="0" applyFont="1"/>
    <xf numFmtId="0" fontId="0" fillId="2" borderId="0" xfId="0" applyFill="1"/>
    <xf numFmtId="0" fontId="2" fillId="3" borderId="0" xfId="0" applyFont="1" applyFill="1"/>
    <xf numFmtId="0" fontId="0" fillId="3" borderId="0" xfId="0" applyFill="1"/>
    <xf numFmtId="0" fontId="8" fillId="2" borderId="0" xfId="0" applyFont="1" applyFill="1" applyAlignment="1" applyProtection="1">
      <alignment vertical="center" wrapText="1"/>
      <protection locked="0"/>
    </xf>
    <xf numFmtId="0" fontId="2" fillId="3" borderId="0" xfId="0" applyFont="1" applyFill="1" applyAlignment="1">
      <alignment vertical="top" wrapText="1"/>
    </xf>
    <xf numFmtId="0" fontId="2" fillId="3" borderId="1" xfId="0" applyFont="1" applyFill="1" applyBorder="1" applyAlignment="1">
      <alignment horizontal="center" vertical="top"/>
    </xf>
    <xf numFmtId="0" fontId="2" fillId="3" borderId="0" xfId="0" applyFont="1" applyFill="1" applyAlignment="1">
      <alignment horizontal="center" vertical="top"/>
    </xf>
    <xf numFmtId="0" fontId="0" fillId="6" borderId="0" xfId="0" applyFill="1" applyAlignment="1">
      <alignment vertical="top"/>
    </xf>
    <xf numFmtId="0" fontId="0" fillId="6" borderId="0" xfId="0" applyFill="1" applyAlignment="1">
      <alignment vertical="top" wrapText="1"/>
    </xf>
    <xf numFmtId="0" fontId="3" fillId="6" borderId="0" xfId="0" applyFont="1" applyFill="1" applyAlignment="1">
      <alignment vertical="top"/>
    </xf>
    <xf numFmtId="0" fontId="0" fillId="6" borderId="0" xfId="0" applyFill="1" applyAlignment="1">
      <alignment vertical="center"/>
    </xf>
    <xf numFmtId="0" fontId="0" fillId="6" borderId="0" xfId="0" applyFill="1" applyAlignment="1">
      <alignment vertical="center" wrapText="1"/>
    </xf>
    <xf numFmtId="0" fontId="0" fillId="6" borderId="0" xfId="0" applyFill="1" applyAlignment="1" applyProtection="1">
      <alignment vertical="center"/>
      <protection locked="0"/>
    </xf>
    <xf numFmtId="2" fontId="0" fillId="6" borderId="0" xfId="0" applyNumberFormat="1" applyFill="1" applyAlignment="1">
      <alignment vertical="top"/>
    </xf>
    <xf numFmtId="0" fontId="0" fillId="6" borderId="0" xfId="0" applyFill="1" applyAlignment="1" applyProtection="1">
      <alignment vertical="top"/>
      <protection locked="0"/>
    </xf>
    <xf numFmtId="1" fontId="8" fillId="2" borderId="0" xfId="0" applyNumberFormat="1" applyFont="1" applyFill="1" applyAlignment="1">
      <alignment vertical="center"/>
    </xf>
    <xf numFmtId="1" fontId="4" fillId="6" borderId="0" xfId="0" applyNumberFormat="1" applyFont="1" applyFill="1" applyAlignment="1">
      <alignment vertical="top"/>
    </xf>
    <xf numFmtId="0" fontId="0" fillId="6" borderId="4" xfId="0" applyFill="1" applyBorder="1" applyAlignment="1" applyProtection="1">
      <alignment vertical="top"/>
      <protection locked="0"/>
    </xf>
    <xf numFmtId="0" fontId="0" fillId="6" borderId="4" xfId="0" applyFill="1" applyBorder="1" applyAlignment="1" applyProtection="1">
      <alignment vertical="top" wrapText="1"/>
      <protection locked="0"/>
    </xf>
    <xf numFmtId="9" fontId="0" fillId="6" borderId="4" xfId="0" applyNumberFormat="1" applyFill="1" applyBorder="1" applyAlignment="1" applyProtection="1">
      <alignment vertical="top"/>
      <protection locked="0"/>
    </xf>
    <xf numFmtId="2" fontId="0" fillId="6" borderId="4" xfId="0" applyNumberFormat="1" applyFill="1" applyBorder="1" applyAlignment="1" applyProtection="1">
      <alignment vertical="top"/>
      <protection locked="0"/>
    </xf>
    <xf numFmtId="0" fontId="11" fillId="6" borderId="0" xfId="0" applyFont="1" applyFill="1" applyAlignment="1">
      <alignment vertical="top" wrapText="1"/>
    </xf>
    <xf numFmtId="0" fontId="0" fillId="6" borderId="0" xfId="0" applyFill="1" applyAlignment="1" applyProtection="1">
      <alignment vertical="top" wrapText="1"/>
      <protection locked="0"/>
    </xf>
    <xf numFmtId="0" fontId="0" fillId="4" borderId="0" xfId="0" applyFill="1" applyAlignment="1">
      <alignment vertical="top"/>
    </xf>
    <xf numFmtId="0" fontId="9" fillId="4" borderId="0" xfId="0" applyFont="1" applyFill="1" applyAlignment="1">
      <alignment vertical="top"/>
    </xf>
    <xf numFmtId="2" fontId="0" fillId="4" borderId="0" xfId="0" applyNumberFormat="1" applyFill="1" applyAlignment="1">
      <alignment vertical="top"/>
    </xf>
    <xf numFmtId="0" fontId="0" fillId="4" borderId="0" xfId="0" applyFill="1" applyAlignment="1">
      <alignment vertical="top" wrapText="1"/>
    </xf>
    <xf numFmtId="0" fontId="0" fillId="2" borderId="0" xfId="0" applyFill="1" applyAlignment="1">
      <alignment vertical="center"/>
    </xf>
    <xf numFmtId="0" fontId="8" fillId="2" borderId="0" xfId="0" applyFont="1" applyFill="1" applyAlignment="1">
      <alignment vertical="center"/>
    </xf>
    <xf numFmtId="2" fontId="7" fillId="2" borderId="0" xfId="0" applyNumberFormat="1" applyFont="1" applyFill="1" applyAlignment="1">
      <alignment vertical="center"/>
    </xf>
    <xf numFmtId="0" fontId="7" fillId="2" borderId="0" xfId="0" applyFont="1" applyFill="1" applyAlignment="1">
      <alignment vertical="center"/>
    </xf>
    <xf numFmtId="0" fontId="7" fillId="2" borderId="0" xfId="0" applyFont="1" applyFill="1" applyAlignment="1">
      <alignment vertical="center" wrapText="1"/>
    </xf>
    <xf numFmtId="0" fontId="0" fillId="6" borderId="4" xfId="0" applyFill="1" applyBorder="1" applyAlignment="1">
      <alignment vertical="top" wrapText="1"/>
    </xf>
    <xf numFmtId="0" fontId="0" fillId="6" borderId="7" xfId="0" applyFill="1" applyBorder="1" applyAlignment="1" applyProtection="1">
      <alignment vertical="top" wrapText="1"/>
      <protection locked="0"/>
    </xf>
    <xf numFmtId="0" fontId="0" fillId="8" borderId="0" xfId="0" applyFill="1" applyAlignment="1">
      <alignment vertical="top"/>
    </xf>
    <xf numFmtId="0" fontId="0" fillId="8" borderId="0" xfId="0" applyFill="1" applyAlignment="1">
      <alignment vertical="top" wrapText="1"/>
    </xf>
    <xf numFmtId="0" fontId="2" fillId="8" borderId="0" xfId="0" applyFont="1" applyFill="1" applyAlignment="1">
      <alignment vertical="top"/>
    </xf>
    <xf numFmtId="9" fontId="14" fillId="8" borderId="2" xfId="0" applyNumberFormat="1" applyFont="1" applyFill="1" applyBorder="1" applyAlignment="1">
      <alignment vertical="top"/>
    </xf>
    <xf numFmtId="0" fontId="0" fillId="9" borderId="0" xfId="0" applyFill="1" applyAlignment="1">
      <alignment vertical="top"/>
    </xf>
    <xf numFmtId="9" fontId="0" fillId="5" borderId="9" xfId="0" applyNumberFormat="1" applyFill="1" applyBorder="1" applyAlignment="1" applyProtection="1">
      <alignment horizontal="right" vertical="top"/>
      <protection locked="0"/>
    </xf>
    <xf numFmtId="0" fontId="0" fillId="5" borderId="9" xfId="0" applyFill="1" applyBorder="1" applyAlignment="1" applyProtection="1">
      <alignment horizontal="right" vertical="top"/>
      <protection locked="0"/>
    </xf>
    <xf numFmtId="9" fontId="0" fillId="5" borderId="9" xfId="0" applyNumberFormat="1" applyFill="1" applyBorder="1" applyAlignment="1" applyProtection="1">
      <alignment horizontal="left" vertical="top"/>
      <protection locked="0"/>
    </xf>
    <xf numFmtId="0" fontId="0" fillId="5" borderId="9" xfId="0" applyFill="1" applyBorder="1" applyAlignment="1" applyProtection="1">
      <alignment horizontal="left" vertical="top"/>
      <protection locked="0"/>
    </xf>
    <xf numFmtId="0" fontId="2" fillId="8" borderId="0" xfId="0" applyFont="1" applyFill="1" applyAlignment="1">
      <alignment horizontal="center" vertical="top"/>
    </xf>
    <xf numFmtId="0" fontId="2" fillId="8" borderId="15" xfId="0" applyFont="1" applyFill="1" applyBorder="1" applyAlignment="1">
      <alignment horizontal="center" vertical="top"/>
    </xf>
    <xf numFmtId="0" fontId="0" fillId="8" borderId="1" xfId="0" applyFill="1" applyBorder="1" applyAlignment="1">
      <alignment vertical="top"/>
    </xf>
    <xf numFmtId="0" fontId="2" fillId="3" borderId="15" xfId="0" applyFont="1" applyFill="1" applyBorder="1" applyAlignment="1">
      <alignment horizontal="center" vertical="top"/>
    </xf>
    <xf numFmtId="0" fontId="2" fillId="3" borderId="17" xfId="0" applyFont="1" applyFill="1" applyBorder="1" applyAlignment="1">
      <alignment horizontal="center" vertical="top"/>
    </xf>
    <xf numFmtId="164" fontId="0" fillId="5" borderId="9" xfId="0" applyNumberFormat="1" applyFill="1" applyBorder="1" applyAlignment="1" applyProtection="1">
      <alignment horizontal="center" vertical="top"/>
      <protection locked="0"/>
    </xf>
    <xf numFmtId="164" fontId="0" fillId="5" borderId="9" xfId="0" applyNumberFormat="1" applyFill="1" applyBorder="1" applyAlignment="1" applyProtection="1">
      <alignment horizontal="left" vertical="top"/>
      <protection locked="0"/>
    </xf>
    <xf numFmtId="0" fontId="6" fillId="10" borderId="0" xfId="0" applyFont="1" applyFill="1" applyAlignment="1" applyProtection="1">
      <alignment vertical="center"/>
      <protection locked="0"/>
    </xf>
    <xf numFmtId="0" fontId="5" fillId="10" borderId="0" xfId="0" applyFont="1" applyFill="1" applyAlignment="1" applyProtection="1">
      <alignment vertical="center" wrapText="1"/>
      <protection locked="0"/>
    </xf>
    <xf numFmtId="0" fontId="5" fillId="10" borderId="0" xfId="0" applyFont="1" applyFill="1" applyAlignment="1">
      <alignment vertical="center" wrapText="1"/>
    </xf>
    <xf numFmtId="0" fontId="5" fillId="10" borderId="0" xfId="0" applyFont="1" applyFill="1" applyAlignment="1">
      <alignment vertical="center"/>
    </xf>
    <xf numFmtId="0" fontId="0" fillId="10" borderId="0" xfId="0" applyFill="1" applyAlignment="1">
      <alignment vertical="top"/>
    </xf>
    <xf numFmtId="0" fontId="0" fillId="10" borderId="0" xfId="0" applyFill="1" applyAlignment="1">
      <alignment vertical="top" wrapText="1"/>
    </xf>
    <xf numFmtId="0" fontId="0" fillId="4" borderId="0" xfId="0" applyFill="1" applyAlignment="1" applyProtection="1">
      <alignment vertical="top"/>
      <protection locked="0"/>
    </xf>
    <xf numFmtId="0" fontId="0" fillId="4" borderId="0" xfId="0" applyFill="1" applyAlignment="1" applyProtection="1">
      <alignment vertical="top" wrapText="1"/>
      <protection locked="0"/>
    </xf>
    <xf numFmtId="1" fontId="0" fillId="4" borderId="11" xfId="0" applyNumberFormat="1" applyFill="1" applyBorder="1" applyAlignment="1">
      <alignment vertical="top"/>
    </xf>
    <xf numFmtId="1" fontId="18" fillId="4" borderId="0" xfId="0" applyNumberFormat="1" applyFont="1" applyFill="1" applyAlignment="1">
      <alignment vertical="top"/>
    </xf>
    <xf numFmtId="0" fontId="9" fillId="4" borderId="0" xfId="0" applyFont="1" applyFill="1" applyAlignment="1" applyProtection="1">
      <alignment vertical="top"/>
      <protection locked="0"/>
    </xf>
    <xf numFmtId="9" fontId="14" fillId="8" borderId="0" xfId="0" applyNumberFormat="1" applyFont="1" applyFill="1" applyAlignment="1">
      <alignment vertical="top"/>
    </xf>
    <xf numFmtId="0" fontId="2" fillId="2" borderId="0" xfId="0" applyFont="1" applyFill="1" applyAlignment="1">
      <alignment horizontal="right"/>
    </xf>
    <xf numFmtId="0" fontId="2" fillId="2" borderId="0" xfId="0" applyFont="1" applyFill="1" applyAlignment="1">
      <alignment horizontal="right" vertical="center"/>
    </xf>
    <xf numFmtId="165" fontId="26" fillId="2" borderId="18" xfId="0" applyNumberFormat="1" applyFont="1" applyFill="1" applyBorder="1" applyAlignment="1">
      <alignment horizontal="center" textRotation="90"/>
    </xf>
    <xf numFmtId="165" fontId="26" fillId="2" borderId="3" xfId="0" applyNumberFormat="1" applyFont="1" applyFill="1" applyBorder="1" applyAlignment="1">
      <alignment horizontal="center" textRotation="90"/>
    </xf>
    <xf numFmtId="165" fontId="26" fillId="2" borderId="19" xfId="0" applyNumberFormat="1" applyFont="1" applyFill="1" applyBorder="1" applyAlignment="1">
      <alignment horizontal="center" textRotation="90"/>
    </xf>
    <xf numFmtId="0" fontId="0" fillId="4" borderId="0" xfId="0" applyFill="1" applyAlignment="1">
      <alignment horizontal="right" vertical="top"/>
    </xf>
    <xf numFmtId="0" fontId="20" fillId="4" borderId="0" xfId="3" applyFill="1" applyAlignment="1">
      <alignment vertical="top" wrapText="1"/>
    </xf>
    <xf numFmtId="0" fontId="0" fillId="3" borderId="0" xfId="0" applyFill="1" applyAlignment="1">
      <alignment vertical="top" wrapText="1"/>
    </xf>
    <xf numFmtId="0" fontId="15" fillId="7" borderId="0" xfId="0" applyFont="1" applyFill="1" applyAlignment="1">
      <alignment horizontal="center" vertical="top"/>
    </xf>
    <xf numFmtId="0" fontId="15" fillId="7" borderId="0" xfId="0" applyFont="1" applyFill="1" applyAlignment="1">
      <alignment horizontal="center" vertical="center"/>
    </xf>
    <xf numFmtId="0" fontId="0" fillId="6" borderId="0" xfId="0" applyFill="1" applyAlignment="1">
      <alignment horizontal="center" vertical="top"/>
    </xf>
    <xf numFmtId="0" fontId="26" fillId="7" borderId="0" xfId="0" applyFont="1" applyFill="1" applyAlignment="1">
      <alignment horizontal="center" vertical="center"/>
    </xf>
    <xf numFmtId="0" fontId="27" fillId="7" borderId="0" xfId="0" applyFont="1" applyFill="1" applyAlignment="1">
      <alignment horizontal="center" vertical="center"/>
    </xf>
    <xf numFmtId="0" fontId="28" fillId="7" borderId="0" xfId="0" applyFont="1" applyFill="1" applyAlignment="1">
      <alignment horizontal="center" vertical="center"/>
    </xf>
    <xf numFmtId="0" fontId="28" fillId="7" borderId="0" xfId="0" applyFont="1" applyFill="1" applyAlignment="1">
      <alignment horizontal="center" vertical="top"/>
    </xf>
    <xf numFmtId="0" fontId="27" fillId="7" borderId="0" xfId="0" applyFont="1" applyFill="1" applyAlignment="1">
      <alignment horizontal="center" vertical="top"/>
    </xf>
    <xf numFmtId="0" fontId="8" fillId="13" borderId="0" xfId="0" applyFont="1" applyFill="1" applyAlignment="1" applyProtection="1">
      <alignment vertical="center" wrapText="1"/>
      <protection locked="0"/>
    </xf>
    <xf numFmtId="0" fontId="8" fillId="13" borderId="0" xfId="0" applyFont="1" applyFill="1" applyAlignment="1">
      <alignment vertical="center"/>
    </xf>
    <xf numFmtId="2" fontId="7" fillId="13" borderId="0" xfId="0" applyNumberFormat="1" applyFont="1" applyFill="1" applyAlignment="1">
      <alignment vertical="center"/>
    </xf>
    <xf numFmtId="0" fontId="7" fillId="13" borderId="0" xfId="0" applyFont="1" applyFill="1" applyAlignment="1">
      <alignment vertical="center"/>
    </xf>
    <xf numFmtId="0" fontId="7" fillId="13" borderId="0" xfId="0" applyFont="1" applyFill="1" applyAlignment="1">
      <alignment vertical="center" wrapText="1"/>
    </xf>
    <xf numFmtId="1" fontId="29" fillId="13" borderId="0" xfId="0" applyNumberFormat="1" applyFont="1" applyFill="1" applyAlignment="1" applyProtection="1">
      <alignment vertical="center"/>
      <protection locked="0"/>
    </xf>
    <xf numFmtId="0" fontId="30" fillId="11" borderId="0" xfId="0" applyFont="1" applyFill="1" applyAlignment="1">
      <alignment horizontal="center" vertical="top" textRotation="90"/>
    </xf>
    <xf numFmtId="0" fontId="0" fillId="14" borderId="0" xfId="0" applyFill="1" applyAlignment="1">
      <alignment vertical="top"/>
    </xf>
    <xf numFmtId="0" fontId="12" fillId="14" borderId="0" xfId="0" applyFont="1" applyFill="1" applyAlignment="1">
      <alignment vertical="top"/>
    </xf>
    <xf numFmtId="0" fontId="24" fillId="14" borderId="0" xfId="0" applyFont="1" applyFill="1" applyAlignment="1">
      <alignment vertical="center"/>
    </xf>
    <xf numFmtId="166" fontId="23" fillId="14" borderId="0" xfId="1" applyNumberFormat="1" applyFont="1" applyFill="1" applyAlignment="1">
      <alignment horizontal="left" vertical="center"/>
    </xf>
    <xf numFmtId="0" fontId="0" fillId="16" borderId="0" xfId="0" applyFill="1"/>
    <xf numFmtId="164" fontId="0" fillId="5" borderId="9" xfId="0" applyNumberFormat="1" applyFill="1" applyBorder="1" applyAlignment="1" applyProtection="1">
      <alignment horizontal="right" vertical="top"/>
      <protection locked="0"/>
    </xf>
    <xf numFmtId="0" fontId="22" fillId="4" borderId="0" xfId="0" applyFont="1" applyFill="1" applyAlignment="1">
      <alignment vertical="top"/>
    </xf>
    <xf numFmtId="164" fontId="0" fillId="4" borderId="11" xfId="0" applyNumberFormat="1" applyFill="1" applyBorder="1" applyAlignment="1">
      <alignment vertical="top"/>
    </xf>
    <xf numFmtId="9" fontId="0" fillId="14" borderId="9" xfId="0" applyNumberFormat="1" applyFill="1" applyBorder="1" applyAlignment="1" applyProtection="1">
      <alignment horizontal="right" vertical="top"/>
      <protection locked="0"/>
    </xf>
    <xf numFmtId="164" fontId="0" fillId="14" borderId="9" xfId="0" applyNumberFormat="1" applyFill="1" applyBorder="1" applyAlignment="1" applyProtection="1">
      <alignment horizontal="right" vertical="top"/>
      <protection locked="0"/>
    </xf>
    <xf numFmtId="0" fontId="2" fillId="4" borderId="13" xfId="0" applyFont="1" applyFill="1" applyBorder="1" applyAlignment="1">
      <alignment horizontal="right" vertical="top" wrapText="1"/>
    </xf>
    <xf numFmtId="0" fontId="2" fillId="4" borderId="20" xfId="0" applyFont="1" applyFill="1" applyBorder="1" applyAlignment="1">
      <alignment horizontal="right" vertical="top"/>
    </xf>
    <xf numFmtId="15" fontId="0" fillId="4" borderId="9" xfId="0" applyNumberFormat="1" applyFill="1" applyBorder="1" applyAlignment="1">
      <alignment vertical="top" wrapText="1"/>
    </xf>
    <xf numFmtId="15" fontId="0" fillId="4" borderId="11" xfId="0" applyNumberFormat="1" applyFill="1" applyBorder="1" applyAlignment="1">
      <alignment vertical="top" wrapText="1"/>
    </xf>
    <xf numFmtId="15" fontId="0" fillId="4" borderId="16" xfId="0" applyNumberFormat="1" applyFill="1" applyBorder="1" applyAlignment="1">
      <alignment vertical="top" wrapText="1"/>
    </xf>
    <xf numFmtId="15" fontId="2" fillId="5" borderId="11" xfId="0" applyNumberFormat="1" applyFont="1" applyFill="1" applyBorder="1" applyAlignment="1" applyProtection="1">
      <alignment vertical="top" wrapText="1"/>
      <protection locked="0"/>
    </xf>
    <xf numFmtId="0" fontId="18" fillId="4" borderId="0" xfId="0" applyFont="1" applyFill="1" applyAlignment="1">
      <alignment horizontal="right" vertical="top"/>
    </xf>
    <xf numFmtId="0" fontId="18" fillId="4" borderId="0" xfId="0" applyFont="1" applyFill="1" applyAlignment="1">
      <alignment vertical="top"/>
    </xf>
    <xf numFmtId="0" fontId="34" fillId="19" borderId="0" xfId="0" applyFont="1" applyFill="1" applyAlignment="1">
      <alignment horizontal="right" vertical="top"/>
    </xf>
    <xf numFmtId="0" fontId="34" fillId="19" borderId="0" xfId="0" applyFont="1" applyFill="1" applyAlignment="1">
      <alignment vertical="top"/>
    </xf>
    <xf numFmtId="0" fontId="34" fillId="19" borderId="0" xfId="0" applyFont="1" applyFill="1" applyAlignment="1">
      <alignment horizontal="right" vertical="center"/>
    </xf>
    <xf numFmtId="15" fontId="2" fillId="4" borderId="10" xfId="0" applyNumberFormat="1" applyFont="1" applyFill="1" applyBorder="1" applyAlignment="1">
      <alignment vertical="top" wrapText="1"/>
    </xf>
    <xf numFmtId="164" fontId="0" fillId="5" borderId="10" xfId="0" applyNumberFormat="1" applyFill="1" applyBorder="1" applyAlignment="1" applyProtection="1">
      <alignment horizontal="right" vertical="top"/>
      <protection locked="0"/>
    </xf>
    <xf numFmtId="164" fontId="0" fillId="14" borderId="10" xfId="0" applyNumberFormat="1" applyFill="1" applyBorder="1" applyAlignment="1" applyProtection="1">
      <alignment horizontal="right" vertical="top"/>
      <protection locked="0"/>
    </xf>
    <xf numFmtId="164" fontId="0" fillId="5" borderId="10" xfId="0" applyNumberFormat="1" applyFill="1" applyBorder="1" applyAlignment="1" applyProtection="1">
      <alignment horizontal="left" vertical="top"/>
      <protection locked="0"/>
    </xf>
    <xf numFmtId="0" fontId="17" fillId="19" borderId="0" xfId="0" applyFont="1" applyFill="1" applyAlignment="1">
      <alignment vertical="top"/>
    </xf>
    <xf numFmtId="0" fontId="35" fillId="19" borderId="0" xfId="0" applyFont="1" applyFill="1" applyAlignment="1">
      <alignment vertical="top"/>
    </xf>
    <xf numFmtId="1" fontId="36" fillId="19" borderId="0" xfId="0" applyNumberFormat="1" applyFont="1" applyFill="1" applyAlignment="1">
      <alignment vertical="top"/>
    </xf>
    <xf numFmtId="0" fontId="0" fillId="2" borderId="0" xfId="0" applyFill="1" applyAlignment="1">
      <alignment horizontal="right"/>
    </xf>
    <xf numFmtId="0" fontId="0" fillId="11" borderId="0" xfId="0" applyFill="1"/>
    <xf numFmtId="0" fontId="2" fillId="11" borderId="0" xfId="0" applyFont="1" applyFill="1" applyAlignment="1">
      <alignment horizontal="right"/>
    </xf>
    <xf numFmtId="164" fontId="0" fillId="0" borderId="0" xfId="0" applyNumberFormat="1"/>
    <xf numFmtId="0" fontId="0" fillId="20" borderId="0" xfId="0" applyFill="1"/>
    <xf numFmtId="0" fontId="0" fillId="18" borderId="0" xfId="0" applyFill="1"/>
    <xf numFmtId="0" fontId="0" fillId="21" borderId="0" xfId="0" applyFill="1"/>
    <xf numFmtId="0" fontId="0" fillId="17" borderId="0" xfId="0" applyFill="1"/>
    <xf numFmtId="0" fontId="0" fillId="22" borderId="0" xfId="0" applyFill="1"/>
    <xf numFmtId="0" fontId="38" fillId="0" borderId="0" xfId="0" applyFont="1" applyAlignment="1">
      <alignment vertical="top" wrapText="1"/>
    </xf>
    <xf numFmtId="0" fontId="39" fillId="0" borderId="0" xfId="0" applyFont="1" applyAlignment="1">
      <alignment horizontal="right"/>
    </xf>
    <xf numFmtId="0" fontId="37" fillId="0" borderId="0" xfId="0" applyFont="1" applyAlignment="1">
      <alignment vertical="top"/>
    </xf>
    <xf numFmtId="1" fontId="0" fillId="6" borderId="4" xfId="0" applyNumberFormat="1" applyFill="1" applyBorder="1" applyAlignment="1" applyProtection="1">
      <alignment vertical="top"/>
      <protection locked="0"/>
    </xf>
    <xf numFmtId="0" fontId="17" fillId="8" borderId="0" xfId="0" applyFont="1" applyFill="1" applyAlignment="1">
      <alignment vertical="top"/>
    </xf>
    <xf numFmtId="0" fontId="0" fillId="4" borderId="0" xfId="0" applyFill="1" applyAlignment="1">
      <alignment horizontal="right" vertical="top" wrapText="1"/>
    </xf>
    <xf numFmtId="0" fontId="0" fillId="5" borderId="0" xfId="0" applyFill="1" applyAlignment="1" applyProtection="1">
      <alignment horizontal="right" vertical="top" wrapText="1"/>
      <protection locked="0"/>
    </xf>
    <xf numFmtId="0" fontId="41" fillId="4" borderId="0" xfId="0" applyFont="1" applyFill="1" applyAlignment="1">
      <alignment vertical="top"/>
    </xf>
    <xf numFmtId="0" fontId="40" fillId="4" borderId="0" xfId="0" applyFont="1" applyFill="1" applyAlignment="1">
      <alignment horizontal="right" vertical="top" wrapText="1"/>
    </xf>
    <xf numFmtId="166" fontId="43" fillId="14" borderId="0" xfId="1" applyNumberFormat="1" applyFont="1" applyFill="1" applyAlignment="1">
      <alignment horizontal="left" vertical="center"/>
    </xf>
    <xf numFmtId="1" fontId="0" fillId="6" borderId="4" xfId="2" applyNumberFormat="1" applyFont="1" applyFill="1" applyBorder="1" applyAlignment="1" applyProtection="1">
      <alignment vertical="top"/>
      <protection locked="0"/>
    </xf>
    <xf numFmtId="0" fontId="32" fillId="9" borderId="0" xfId="0" applyFont="1" applyFill="1" applyAlignment="1">
      <alignment horizontal="right" vertical="center"/>
    </xf>
    <xf numFmtId="0" fontId="32" fillId="9" borderId="0" xfId="0" applyFont="1" applyFill="1" applyAlignment="1">
      <alignment vertical="center"/>
    </xf>
    <xf numFmtId="0" fontId="0" fillId="23" borderId="0" xfId="0" applyFill="1" applyAlignment="1">
      <alignment vertical="top"/>
    </xf>
    <xf numFmtId="0" fontId="12" fillId="23" borderId="0" xfId="0" applyFont="1" applyFill="1" applyAlignment="1">
      <alignment vertical="top"/>
    </xf>
    <xf numFmtId="0" fontId="13" fillId="15" borderId="0" xfId="0" applyFont="1" applyFill="1" applyAlignment="1">
      <alignment vertical="center"/>
    </xf>
    <xf numFmtId="0" fontId="48" fillId="14" borderId="4" xfId="0" applyFont="1" applyFill="1" applyBorder="1" applyAlignment="1">
      <alignment horizontal="right" vertical="center"/>
    </xf>
    <xf numFmtId="9" fontId="0" fillId="5" borderId="0" xfId="2" applyFont="1" applyFill="1" applyAlignment="1" applyProtection="1">
      <alignment vertical="center"/>
      <protection locked="0"/>
    </xf>
    <xf numFmtId="9" fontId="0" fillId="5" borderId="14" xfId="2" applyFont="1" applyFill="1" applyBorder="1" applyAlignment="1" applyProtection="1">
      <alignment vertical="center"/>
      <protection locked="0"/>
    </xf>
    <xf numFmtId="0" fontId="32" fillId="9" borderId="0" xfId="3" applyFont="1" applyFill="1" applyAlignment="1">
      <alignment horizontal="right" vertical="top"/>
    </xf>
    <xf numFmtId="0" fontId="32" fillId="9" borderId="0" xfId="0" applyFont="1" applyFill="1" applyAlignment="1">
      <alignment horizontal="left" vertical="top" indent="1"/>
    </xf>
    <xf numFmtId="0" fontId="0" fillId="5" borderId="0" xfId="0" applyFill="1" applyProtection="1">
      <protection locked="0"/>
    </xf>
    <xf numFmtId="0" fontId="2" fillId="4" borderId="0" xfId="0" applyFont="1" applyFill="1" applyAlignment="1">
      <alignment horizontal="right"/>
    </xf>
    <xf numFmtId="0" fontId="0" fillId="4" borderId="0" xfId="0" applyFill="1" applyAlignment="1">
      <alignment horizontal="right"/>
    </xf>
    <xf numFmtId="0" fontId="21" fillId="4" borderId="0" xfId="0" applyFont="1" applyFill="1" applyAlignment="1">
      <alignment horizontal="left" vertical="top"/>
    </xf>
    <xf numFmtId="0" fontId="40" fillId="4" borderId="0" xfId="0" applyFont="1" applyFill="1" applyAlignment="1">
      <alignment horizontal="right" vertical="top"/>
    </xf>
    <xf numFmtId="0" fontId="40" fillId="4" borderId="0" xfId="0" applyFont="1" applyFill="1" applyAlignment="1">
      <alignment horizontal="left" vertical="top"/>
    </xf>
    <xf numFmtId="9" fontId="0" fillId="2" borderId="12" xfId="2" applyFont="1" applyFill="1" applyBorder="1" applyAlignment="1">
      <alignment horizontal="left"/>
    </xf>
    <xf numFmtId="9" fontId="0" fillId="5" borderId="0" xfId="0" applyNumberFormat="1" applyFill="1" applyProtection="1">
      <protection locked="0"/>
    </xf>
    <xf numFmtId="0" fontId="49" fillId="4" borderId="0" xfId="0" applyFont="1" applyFill="1" applyAlignment="1">
      <alignment horizontal="right"/>
    </xf>
    <xf numFmtId="0" fontId="0" fillId="9" borderId="1" xfId="0" applyFill="1" applyBorder="1" applyAlignment="1">
      <alignment vertical="top"/>
    </xf>
    <xf numFmtId="43" fontId="8" fillId="2" borderId="0" xfId="1" applyFont="1" applyFill="1" applyAlignment="1">
      <alignment vertical="center"/>
    </xf>
    <xf numFmtId="43" fontId="0" fillId="6" borderId="4" xfId="1" applyFont="1" applyFill="1" applyBorder="1" applyAlignment="1" applyProtection="1">
      <alignment vertical="top"/>
      <protection locked="0"/>
    </xf>
    <xf numFmtId="43" fontId="0" fillId="12" borderId="4" xfId="1" applyFont="1" applyFill="1" applyBorder="1" applyAlignment="1">
      <alignment vertical="top"/>
    </xf>
    <xf numFmtId="2" fontId="0" fillId="2" borderId="4" xfId="0" applyNumberFormat="1" applyFill="1" applyBorder="1" applyAlignment="1">
      <alignment vertical="top"/>
    </xf>
    <xf numFmtId="0" fontId="52" fillId="0" borderId="0" xfId="0" applyFont="1" applyAlignment="1">
      <alignment vertical="top"/>
    </xf>
    <xf numFmtId="0" fontId="0" fillId="0" borderId="0" xfId="0" applyAlignment="1">
      <alignment vertical="top"/>
    </xf>
    <xf numFmtId="0" fontId="8" fillId="2" borderId="0" xfId="0" applyFont="1" applyFill="1" applyAlignment="1">
      <alignment horizontal="left" vertical="center"/>
    </xf>
    <xf numFmtId="0" fontId="8" fillId="2" borderId="0" xfId="0" applyFont="1" applyFill="1" applyAlignment="1">
      <alignment vertical="center" wrapText="1"/>
    </xf>
    <xf numFmtId="1" fontId="53" fillId="2" borderId="0" xfId="0" applyNumberFormat="1" applyFont="1" applyFill="1" applyAlignment="1">
      <alignment vertical="center"/>
    </xf>
    <xf numFmtId="0" fontId="53" fillId="2" borderId="0" xfId="0" applyFont="1" applyFill="1" applyAlignment="1">
      <alignment horizontal="left" vertical="center"/>
    </xf>
    <xf numFmtId="0" fontId="2" fillId="9" borderId="0" xfId="0" applyFont="1" applyFill="1" applyAlignment="1">
      <alignment horizontal="center" vertical="center"/>
    </xf>
    <xf numFmtId="0" fontId="47" fillId="14" borderId="4" xfId="0" applyFont="1" applyFill="1" applyBorder="1" applyAlignment="1" applyProtection="1">
      <alignment vertical="center"/>
      <protection locked="0"/>
    </xf>
    <xf numFmtId="0" fontId="47" fillId="14" borderId="13" xfId="0" applyFont="1" applyFill="1" applyBorder="1" applyAlignment="1">
      <alignment vertical="center"/>
    </xf>
    <xf numFmtId="166" fontId="54" fillId="4" borderId="0" xfId="1" applyNumberFormat="1" applyFont="1" applyFill="1" applyAlignment="1">
      <alignment vertical="center"/>
    </xf>
    <xf numFmtId="0" fontId="2" fillId="8" borderId="17" xfId="0" applyFont="1" applyFill="1" applyBorder="1" applyAlignment="1">
      <alignment horizontal="center" vertical="top"/>
    </xf>
    <xf numFmtId="0" fontId="0" fillId="13" borderId="0" xfId="0" applyFill="1" applyAlignment="1">
      <alignment vertical="center"/>
    </xf>
    <xf numFmtId="0" fontId="42" fillId="4" borderId="0" xfId="0" applyFont="1" applyFill="1" applyAlignment="1">
      <alignment wrapText="1"/>
    </xf>
    <xf numFmtId="0" fontId="0" fillId="5" borderId="0" xfId="0" applyFill="1" applyAlignment="1" applyProtection="1">
      <alignment vertical="top"/>
      <protection locked="0"/>
    </xf>
    <xf numFmtId="0" fontId="2" fillId="3" borderId="0" xfId="0" applyFont="1" applyFill="1" applyAlignment="1" applyProtection="1">
      <alignment vertical="top" wrapText="1"/>
      <protection locked="0"/>
    </xf>
    <xf numFmtId="0" fontId="2" fillId="8" borderId="0" xfId="0" applyFont="1" applyFill="1" applyAlignment="1">
      <alignment horizontal="center" vertical="top" wrapText="1"/>
    </xf>
    <xf numFmtId="0" fontId="2" fillId="3" borderId="0" xfId="0" applyFont="1" applyFill="1" applyAlignment="1">
      <alignment horizontal="center" vertical="top" wrapText="1"/>
    </xf>
    <xf numFmtId="0" fontId="48" fillId="14" borderId="8" xfId="0" applyFont="1" applyFill="1" applyBorder="1" applyAlignment="1">
      <alignment horizontal="right" vertical="center"/>
    </xf>
    <xf numFmtId="0" fontId="47" fillId="14" borderId="8" xfId="0" applyFont="1" applyFill="1" applyBorder="1" applyAlignment="1" applyProtection="1">
      <alignment vertical="center"/>
      <protection locked="0"/>
    </xf>
    <xf numFmtId="9" fontId="45" fillId="14" borderId="16" xfId="0" applyNumberFormat="1" applyFont="1" applyFill="1" applyBorder="1" applyAlignment="1" applyProtection="1">
      <alignment horizontal="center" vertical="center"/>
      <protection locked="0"/>
    </xf>
    <xf numFmtId="0" fontId="46" fillId="14" borderId="0" xfId="0" applyFont="1" applyFill="1" applyAlignment="1">
      <alignment horizontal="right" vertical="center"/>
    </xf>
    <xf numFmtId="0" fontId="0" fillId="14" borderId="4" xfId="0" applyFill="1" applyBorder="1" applyAlignment="1">
      <alignment vertical="top"/>
    </xf>
    <xf numFmtId="0" fontId="25" fillId="14" borderId="4" xfId="0" applyFont="1" applyFill="1" applyBorder="1" applyAlignment="1">
      <alignment vertical="center"/>
    </xf>
    <xf numFmtId="0" fontId="55" fillId="4" borderId="0" xfId="3" applyFont="1" applyFill="1" applyAlignment="1">
      <alignment horizontal="center" vertical="top"/>
    </xf>
    <xf numFmtId="0" fontId="15" fillId="4" borderId="0" xfId="0" applyFont="1" applyFill="1" applyAlignment="1">
      <alignment horizontal="center" vertical="top"/>
    </xf>
    <xf numFmtId="0" fontId="2" fillId="24" borderId="0" xfId="0" applyFont="1" applyFill="1" applyAlignment="1">
      <alignment vertical="top" wrapText="1"/>
    </xf>
    <xf numFmtId="0" fontId="0" fillId="24" borderId="0" xfId="0" applyFill="1" applyAlignment="1">
      <alignment vertical="top" wrapText="1"/>
    </xf>
    <xf numFmtId="166" fontId="2" fillId="24" borderId="0" xfId="1" applyNumberFormat="1" applyFont="1" applyFill="1" applyAlignment="1">
      <alignment vertical="top"/>
    </xf>
    <xf numFmtId="0" fontId="2" fillId="24" borderId="0" xfId="0" applyFont="1" applyFill="1" applyAlignment="1">
      <alignment horizontal="right" vertical="top"/>
    </xf>
    <xf numFmtId="0" fontId="2" fillId="24" borderId="0" xfId="0" applyFont="1" applyFill="1" applyAlignment="1">
      <alignment horizontal="right" vertical="top" wrapText="1"/>
    </xf>
    <xf numFmtId="0" fontId="58" fillId="9" borderId="0" xfId="3" applyFont="1" applyFill="1" applyAlignment="1">
      <alignment horizontal="center" vertical="top"/>
    </xf>
    <xf numFmtId="0" fontId="59" fillId="0" borderId="0" xfId="0" applyFont="1" applyAlignment="1">
      <alignment horizontal="right" vertical="top"/>
    </xf>
    <xf numFmtId="0" fontId="31" fillId="14" borderId="0" xfId="0" applyFont="1" applyFill="1" applyAlignment="1">
      <alignment horizontal="right" vertical="center"/>
    </xf>
    <xf numFmtId="0" fontId="25" fillId="14" borderId="0" xfId="0" applyFont="1" applyFill="1" applyAlignment="1">
      <alignment horizontal="right" vertical="center"/>
    </xf>
    <xf numFmtId="0" fontId="60" fillId="25" borderId="0" xfId="0" applyFont="1" applyFill="1" applyAlignment="1" applyProtection="1">
      <alignment vertical="center"/>
      <protection locked="0"/>
    </xf>
    <xf numFmtId="0" fontId="21" fillId="25" borderId="0" xfId="0" applyFont="1" applyFill="1" applyAlignment="1" applyProtection="1">
      <alignment vertical="top"/>
      <protection locked="0"/>
    </xf>
    <xf numFmtId="0" fontId="0" fillId="25" borderId="0" xfId="0" applyFill="1" applyAlignment="1" applyProtection="1">
      <alignment vertical="top"/>
      <protection locked="0"/>
    </xf>
    <xf numFmtId="0" fontId="5" fillId="10" borderId="14" xfId="0" applyFont="1" applyFill="1" applyBorder="1" applyAlignment="1" applyProtection="1">
      <alignment vertical="center" wrapText="1"/>
      <protection locked="0"/>
    </xf>
    <xf numFmtId="0" fontId="0" fillId="0" borderId="0" xfId="0" applyAlignment="1">
      <alignment horizontal="right" vertical="top"/>
    </xf>
    <xf numFmtId="0" fontId="64" fillId="0" borderId="0" xfId="0" applyFont="1" applyAlignment="1">
      <alignment horizontal="right" vertical="center"/>
    </xf>
    <xf numFmtId="0" fontId="2" fillId="14" borderId="0" xfId="0" applyFont="1" applyFill="1" applyAlignment="1">
      <alignment horizontal="right" vertical="top"/>
    </xf>
    <xf numFmtId="0" fontId="0" fillId="8" borderId="0" xfId="0" applyFill="1" applyAlignment="1">
      <alignment horizontal="right" vertical="center"/>
    </xf>
    <xf numFmtId="0" fontId="2" fillId="0" borderId="0" xfId="0" applyFont="1" applyAlignment="1">
      <alignment horizontal="right"/>
    </xf>
    <xf numFmtId="9" fontId="14" fillId="8" borderId="15" xfId="0" applyNumberFormat="1" applyFont="1" applyFill="1" applyBorder="1" applyAlignment="1">
      <alignment vertical="top"/>
    </xf>
    <xf numFmtId="164" fontId="0" fillId="5" borderId="9" xfId="2" applyNumberFormat="1" applyFont="1" applyFill="1" applyBorder="1" applyAlignment="1" applyProtection="1">
      <alignment horizontal="right" vertical="top"/>
      <protection locked="0"/>
    </xf>
    <xf numFmtId="164" fontId="0" fillId="14" borderId="9" xfId="2" applyNumberFormat="1" applyFont="1" applyFill="1" applyBorder="1" applyAlignment="1" applyProtection="1">
      <alignment horizontal="right" vertical="top"/>
      <protection locked="0"/>
    </xf>
    <xf numFmtId="164" fontId="0" fillId="5" borderId="10" xfId="2" applyNumberFormat="1" applyFont="1" applyFill="1" applyBorder="1" applyAlignment="1" applyProtection="1">
      <alignment horizontal="right" vertical="top"/>
      <protection locked="0"/>
    </xf>
    <xf numFmtId="0" fontId="67" fillId="0" borderId="0" xfId="0" applyFont="1"/>
    <xf numFmtId="0" fontId="68" fillId="0" borderId="0" xfId="0" applyFont="1"/>
    <xf numFmtId="0" fontId="69" fillId="0" borderId="0" xfId="0" applyFont="1"/>
    <xf numFmtId="0" fontId="70" fillId="0" borderId="0" xfId="0" applyFont="1"/>
    <xf numFmtId="0" fontId="71" fillId="0" borderId="0" xfId="0" applyFont="1"/>
    <xf numFmtId="0" fontId="41" fillId="0" borderId="0" xfId="0" applyFont="1"/>
    <xf numFmtId="0" fontId="72" fillId="0" borderId="0" xfId="0" applyFont="1"/>
    <xf numFmtId="0" fontId="21" fillId="0" borderId="0" xfId="0" applyFont="1" applyAlignment="1">
      <alignment vertical="top" wrapText="1"/>
    </xf>
    <xf numFmtId="0" fontId="21" fillId="0" borderId="0" xfId="0" applyFont="1" applyAlignment="1">
      <alignment vertical="top"/>
    </xf>
    <xf numFmtId="0" fontId="65" fillId="0" borderId="0" xfId="0" applyFont="1" applyAlignment="1">
      <alignment horizontal="center" vertical="top"/>
    </xf>
    <xf numFmtId="0" fontId="26" fillId="0" borderId="0" xfId="0" applyFont="1" applyAlignment="1">
      <alignment vertical="top"/>
    </xf>
    <xf numFmtId="0" fontId="20" fillId="0" borderId="0" xfId="3" applyAlignment="1">
      <alignment vertical="top"/>
    </xf>
    <xf numFmtId="0" fontId="66" fillId="0" borderId="0" xfId="0" applyFont="1" applyAlignment="1">
      <alignment vertical="top"/>
    </xf>
    <xf numFmtId="0" fontId="73" fillId="2" borderId="0" xfId="0" applyFont="1" applyFill="1" applyAlignment="1" applyProtection="1">
      <alignment vertical="center" wrapText="1"/>
      <protection locked="0"/>
    </xf>
    <xf numFmtId="0" fontId="2" fillId="4" borderId="0" xfId="0" applyFont="1" applyFill="1" applyAlignment="1">
      <alignment horizontal="right" vertical="top"/>
    </xf>
    <xf numFmtId="0" fontId="8" fillId="13" borderId="0" xfId="0" applyFont="1" applyFill="1" applyAlignment="1">
      <alignment vertical="center" wrapText="1"/>
    </xf>
    <xf numFmtId="0" fontId="32" fillId="9" borderId="0" xfId="0" applyFont="1" applyFill="1" applyAlignment="1">
      <alignment vertical="top"/>
    </xf>
    <xf numFmtId="0" fontId="25" fillId="14" borderId="13" xfId="0" applyFont="1" applyFill="1" applyBorder="1" applyAlignment="1">
      <alignment vertical="center"/>
    </xf>
    <xf numFmtId="0" fontId="25" fillId="14" borderId="12" xfId="0" applyFont="1" applyFill="1" applyBorder="1" applyAlignment="1">
      <alignment vertical="center"/>
    </xf>
    <xf numFmtId="0" fontId="0" fillId="14" borderId="0" xfId="0" applyFill="1" applyAlignment="1">
      <alignment vertical="top" wrapText="1"/>
    </xf>
    <xf numFmtId="0" fontId="10" fillId="14" borderId="0" xfId="0" applyFont="1" applyFill="1" applyAlignment="1">
      <alignment horizontal="right"/>
    </xf>
    <xf numFmtId="0" fontId="2" fillId="8" borderId="2" xfId="0" applyFont="1" applyFill="1" applyBorder="1" applyAlignment="1">
      <alignment vertical="top"/>
    </xf>
    <xf numFmtId="0" fontId="32" fillId="9" borderId="0" xfId="0" applyFont="1" applyFill="1" applyAlignment="1">
      <alignment horizontal="right" vertical="top"/>
    </xf>
    <xf numFmtId="9" fontId="14" fillId="8" borderId="1" xfId="0" applyNumberFormat="1" applyFont="1" applyFill="1" applyBorder="1" applyAlignment="1">
      <alignment horizontal="center" vertical="center"/>
    </xf>
    <xf numFmtId="0" fontId="57" fillId="4" borderId="0" xfId="3" applyFont="1" applyFill="1" applyAlignment="1">
      <alignment horizontal="left" vertical="center"/>
    </xf>
    <xf numFmtId="0" fontId="25" fillId="14" borderId="8" xfId="0" applyFont="1" applyFill="1" applyBorder="1" applyAlignment="1">
      <alignment vertical="center"/>
    </xf>
    <xf numFmtId="0" fontId="62" fillId="4" borderId="0" xfId="0" applyFont="1" applyFill="1" applyAlignment="1">
      <alignment vertical="top"/>
    </xf>
    <xf numFmtId="164" fontId="0" fillId="5" borderId="20" xfId="0" applyNumberFormat="1" applyFill="1" applyBorder="1" applyAlignment="1" applyProtection="1">
      <alignment horizontal="left" vertical="top"/>
      <protection locked="0"/>
    </xf>
    <xf numFmtId="0" fontId="0" fillId="4" borderId="14" xfId="0" applyFill="1" applyBorder="1" applyAlignment="1" applyProtection="1">
      <alignment vertical="top"/>
      <protection locked="0"/>
    </xf>
    <xf numFmtId="0" fontId="0" fillId="19" borderId="0" xfId="0" applyFill="1" applyAlignment="1">
      <alignment vertical="top"/>
    </xf>
    <xf numFmtId="9" fontId="0" fillId="5" borderId="9" xfId="0" applyNumberFormat="1" applyFill="1" applyBorder="1" applyAlignment="1" applyProtection="1">
      <alignment vertical="top"/>
      <protection locked="0"/>
    </xf>
    <xf numFmtId="9" fontId="0" fillId="5" borderId="11" xfId="0" applyNumberFormat="1" applyFill="1" applyBorder="1" applyAlignment="1" applyProtection="1">
      <alignment vertical="top"/>
      <protection locked="0"/>
    </xf>
    <xf numFmtId="166" fontId="5" fillId="19" borderId="8" xfId="1" applyNumberFormat="1" applyFont="1" applyFill="1" applyBorder="1" applyAlignment="1">
      <alignment vertical="top"/>
    </xf>
    <xf numFmtId="1" fontId="5" fillId="19" borderId="8" xfId="0" applyNumberFormat="1" applyFont="1" applyFill="1" applyBorder="1" applyAlignment="1">
      <alignment vertical="top"/>
    </xf>
    <xf numFmtId="0" fontId="41" fillId="4" borderId="0" xfId="0" applyFont="1" applyFill="1" applyAlignment="1">
      <alignment horizontal="right" vertical="top"/>
    </xf>
    <xf numFmtId="0" fontId="11" fillId="14" borderId="0" xfId="0" applyFont="1" applyFill="1" applyAlignment="1">
      <alignment horizontal="right" vertical="center"/>
    </xf>
    <xf numFmtId="0" fontId="75" fillId="14" borderId="4" xfId="0" applyFont="1" applyFill="1" applyBorder="1" applyAlignment="1">
      <alignment horizontal="right" vertical="center"/>
    </xf>
    <xf numFmtId="0" fontId="74" fillId="14" borderId="0" xfId="0" applyFont="1" applyFill="1" applyAlignment="1">
      <alignment vertical="center"/>
    </xf>
    <xf numFmtId="0" fontId="2" fillId="26" borderId="0" xfId="0" applyFont="1" applyFill="1" applyAlignment="1">
      <alignment vertical="top"/>
    </xf>
    <xf numFmtId="0" fontId="2" fillId="26" borderId="0" xfId="0" applyFont="1" applyFill="1" applyAlignment="1">
      <alignment vertical="top" wrapText="1"/>
    </xf>
    <xf numFmtId="9" fontId="0" fillId="5" borderId="9" xfId="2" applyFont="1" applyFill="1" applyBorder="1" applyAlignment="1" applyProtection="1">
      <alignment horizontal="right" vertical="top"/>
      <protection locked="0"/>
    </xf>
    <xf numFmtId="9" fontId="0" fillId="14" borderId="9" xfId="2" applyFont="1" applyFill="1" applyBorder="1" applyAlignment="1" applyProtection="1">
      <alignment horizontal="right" vertical="top"/>
      <protection locked="0"/>
    </xf>
    <xf numFmtId="0" fontId="0" fillId="4" borderId="0" xfId="0" applyFill="1" applyAlignment="1" applyProtection="1">
      <alignment horizontal="right" vertical="top"/>
      <protection locked="0"/>
    </xf>
    <xf numFmtId="9" fontId="40" fillId="5" borderId="0" xfId="0" applyNumberFormat="1" applyFont="1" applyFill="1" applyAlignment="1" applyProtection="1">
      <alignment horizontal="right" vertical="top"/>
      <protection locked="0"/>
    </xf>
    <xf numFmtId="9" fontId="0" fillId="5" borderId="0" xfId="0" applyNumberFormat="1" applyFill="1" applyAlignment="1" applyProtection="1">
      <alignment vertical="top"/>
      <protection locked="0"/>
    </xf>
    <xf numFmtId="9" fontId="0" fillId="6" borderId="4" xfId="0" applyNumberFormat="1" applyFill="1" applyBorder="1" applyAlignment="1" applyProtection="1">
      <alignment vertical="top" wrapText="1"/>
      <protection locked="0"/>
    </xf>
    <xf numFmtId="0" fontId="0" fillId="6" borderId="0" xfId="0" applyFill="1" applyAlignment="1">
      <alignment horizontal="left" vertical="top"/>
    </xf>
    <xf numFmtId="0" fontId="0" fillId="23" borderId="0" xfId="0" applyFill="1" applyAlignment="1">
      <alignment horizontal="left" vertical="top"/>
    </xf>
    <xf numFmtId="0" fontId="16" fillId="14" borderId="0" xfId="0" applyFont="1" applyFill="1" applyAlignment="1">
      <alignment horizontal="left"/>
    </xf>
    <xf numFmtId="0" fontId="0" fillId="14" borderId="0" xfId="0" applyFill="1" applyAlignment="1">
      <alignment horizontal="left" vertical="top"/>
    </xf>
    <xf numFmtId="0" fontId="44" fillId="14" borderId="0" xfId="0" applyFont="1" applyFill="1" applyAlignment="1">
      <alignment horizontal="left" vertical="center"/>
    </xf>
    <xf numFmtId="0" fontId="3" fillId="6" borderId="0" xfId="0" applyFont="1" applyFill="1" applyAlignment="1">
      <alignment horizontal="left" vertical="top"/>
    </xf>
    <xf numFmtId="0" fontId="0" fillId="9" borderId="0" xfId="0" applyFill="1" applyAlignment="1">
      <alignment horizontal="left" vertical="top"/>
    </xf>
    <xf numFmtId="0" fontId="17" fillId="8" borderId="0" xfId="0" applyFont="1" applyFill="1" applyAlignment="1">
      <alignment horizontal="left" vertical="top"/>
    </xf>
    <xf numFmtId="0" fontId="2" fillId="3" borderId="0" xfId="0" applyFont="1" applyFill="1" applyAlignment="1">
      <alignment horizontal="left" vertical="top" wrapText="1"/>
    </xf>
    <xf numFmtId="0" fontId="6" fillId="10" borderId="0" xfId="0" applyFont="1" applyFill="1" applyAlignment="1" applyProtection="1">
      <alignment horizontal="left" vertical="center"/>
      <protection locked="0"/>
    </xf>
    <xf numFmtId="0" fontId="0" fillId="4" borderId="0" xfId="0" applyFill="1" applyAlignment="1">
      <alignment horizontal="left" vertical="top"/>
    </xf>
    <xf numFmtId="0" fontId="0" fillId="6" borderId="4" xfId="0" applyFill="1" applyBorder="1" applyAlignment="1">
      <alignment horizontal="left" vertical="top"/>
    </xf>
    <xf numFmtId="0" fontId="0" fillId="10" borderId="0" xfId="0" applyFill="1" applyAlignment="1">
      <alignment horizontal="left" vertical="top"/>
    </xf>
    <xf numFmtId="0" fontId="17" fillId="8" borderId="0" xfId="0" applyFont="1" applyFill="1" applyAlignment="1">
      <alignment horizontal="left" vertical="center"/>
    </xf>
    <xf numFmtId="0" fontId="2" fillId="24" borderId="0" xfId="0" applyFont="1" applyFill="1" applyAlignment="1">
      <alignment horizontal="left" vertical="top"/>
    </xf>
    <xf numFmtId="0" fontId="2" fillId="26" borderId="0" xfId="0" applyFont="1" applyFill="1" applyAlignment="1">
      <alignment horizontal="left" vertical="top"/>
    </xf>
    <xf numFmtId="0" fontId="0" fillId="24" borderId="0" xfId="0" applyFill="1" applyAlignment="1">
      <alignment horizontal="left" vertical="top"/>
    </xf>
    <xf numFmtId="0" fontId="0" fillId="6" borderId="0" xfId="0" applyFill="1" applyAlignment="1" applyProtection="1">
      <alignment horizontal="left" vertical="top"/>
      <protection locked="0"/>
    </xf>
    <xf numFmtId="0" fontId="0" fillId="4" borderId="0" xfId="0" applyFill="1" applyAlignment="1" applyProtection="1">
      <alignment horizontal="left" vertical="top"/>
      <protection locked="0"/>
    </xf>
    <xf numFmtId="0" fontId="2" fillId="4" borderId="10" xfId="0" applyFont="1" applyFill="1" applyBorder="1" applyAlignment="1" applyProtection="1">
      <alignment horizontal="center" vertical="top"/>
      <protection locked="0"/>
    </xf>
    <xf numFmtId="0" fontId="2" fillId="4" borderId="10" xfId="0" applyFont="1" applyFill="1" applyBorder="1" applyAlignment="1" applyProtection="1">
      <alignment vertical="top"/>
      <protection locked="0"/>
    </xf>
    <xf numFmtId="0" fontId="48" fillId="14" borderId="0" xfId="0" applyFont="1" applyFill="1" applyAlignment="1">
      <alignment horizontal="left" vertical="center"/>
    </xf>
    <xf numFmtId="0" fontId="76" fillId="11" borderId="0" xfId="0" applyFont="1" applyFill="1" applyAlignment="1">
      <alignment horizontal="center" vertical="top" textRotation="90"/>
    </xf>
    <xf numFmtId="0" fontId="2" fillId="6" borderId="0" xfId="0" applyFont="1" applyFill="1" applyAlignment="1">
      <alignment vertical="top"/>
    </xf>
    <xf numFmtId="0" fontId="2" fillId="6" borderId="0" xfId="0" applyFont="1" applyFill="1" applyAlignment="1">
      <alignment horizontal="center" vertical="top"/>
    </xf>
    <xf numFmtId="0" fontId="74" fillId="7" borderId="0" xfId="0" applyFont="1" applyFill="1" applyAlignment="1">
      <alignment horizontal="center" vertical="top"/>
    </xf>
    <xf numFmtId="0" fontId="2" fillId="4" borderId="0" xfId="0" applyFont="1" applyFill="1" applyAlignment="1">
      <alignment vertical="top"/>
    </xf>
    <xf numFmtId="0" fontId="2" fillId="4" borderId="0" xfId="0" applyFont="1" applyFill="1" applyAlignment="1">
      <alignment horizontal="left" vertical="top"/>
    </xf>
    <xf numFmtId="0" fontId="2" fillId="4" borderId="0" xfId="0" applyFont="1" applyFill="1" applyAlignment="1">
      <alignment vertical="top" wrapText="1"/>
    </xf>
    <xf numFmtId="164" fontId="2" fillId="4" borderId="0" xfId="0" applyNumberFormat="1" applyFont="1" applyFill="1" applyAlignment="1">
      <alignment vertical="top" wrapText="1"/>
    </xf>
    <xf numFmtId="164" fontId="2" fillId="4" borderId="0" xfId="0" applyNumberFormat="1" applyFont="1" applyFill="1" applyAlignment="1">
      <alignment vertical="top"/>
    </xf>
    <xf numFmtId="0" fontId="2" fillId="6" borderId="0" xfId="0" applyFont="1" applyFill="1" applyAlignment="1">
      <alignment vertical="top" wrapText="1"/>
    </xf>
    <xf numFmtId="0" fontId="80" fillId="29" borderId="0" xfId="0" applyFont="1" applyFill="1" applyAlignment="1">
      <alignment horizontal="center" vertical="center" wrapText="1"/>
    </xf>
    <xf numFmtId="0" fontId="93" fillId="27" borderId="24" xfId="0" applyFont="1" applyFill="1" applyBorder="1" applyAlignment="1">
      <alignment horizontal="center" vertical="center" wrapText="1"/>
    </xf>
    <xf numFmtId="0" fontId="93" fillId="27" borderId="24" xfId="0" applyFont="1" applyFill="1" applyBorder="1" applyAlignment="1">
      <alignment horizontal="left" vertical="center" wrapText="1"/>
    </xf>
    <xf numFmtId="0" fontId="8" fillId="2" borderId="0" xfId="0" applyFont="1" applyFill="1" applyAlignment="1" applyProtection="1">
      <alignment horizontal="left" vertical="center"/>
      <protection locked="0"/>
    </xf>
    <xf numFmtId="0" fontId="0" fillId="0" borderId="0" xfId="0" applyProtection="1">
      <protection locked="0"/>
    </xf>
    <xf numFmtId="166" fontId="5" fillId="19" borderId="8" xfId="1" applyNumberFormat="1" applyFont="1" applyFill="1" applyBorder="1" applyAlignment="1">
      <alignment horizontal="center" vertical="top"/>
    </xf>
    <xf numFmtId="0" fontId="0" fillId="0" borderId="8" xfId="0" applyBorder="1"/>
    <xf numFmtId="166" fontId="7" fillId="13" borderId="0" xfId="1" applyNumberFormat="1" applyFont="1" applyFill="1" applyAlignment="1">
      <alignment horizontal="left" vertical="center" indent="1"/>
    </xf>
    <xf numFmtId="0" fontId="0" fillId="6" borderId="0" xfId="0" applyFill="1" applyAlignment="1" applyProtection="1">
      <alignment vertical="center"/>
      <protection locked="0"/>
    </xf>
    <xf numFmtId="0" fontId="0" fillId="4" borderId="0" xfId="0" applyFill="1" applyAlignment="1">
      <alignment horizontal="left" vertical="top" wrapText="1"/>
    </xf>
    <xf numFmtId="0" fontId="0" fillId="6" borderId="0" xfId="0" applyFill="1" applyAlignment="1">
      <alignment vertical="top"/>
    </xf>
    <xf numFmtId="2" fontId="8" fillId="13" borderId="0" xfId="0" applyNumberFormat="1" applyFont="1" applyFill="1" applyAlignment="1" applyProtection="1">
      <alignment horizontal="right" vertical="center"/>
      <protection locked="0"/>
    </xf>
    <xf numFmtId="0" fontId="7" fillId="13" borderId="0" xfId="0" applyFont="1" applyFill="1" applyAlignment="1" applyProtection="1">
      <alignment horizontal="left" vertical="center"/>
      <protection locked="0"/>
    </xf>
    <xf numFmtId="166" fontId="51" fillId="9" borderId="0" xfId="1" applyNumberFormat="1" applyFont="1" applyFill="1" applyAlignment="1">
      <alignment horizontal="right" vertical="top"/>
    </xf>
    <xf numFmtId="0" fontId="2" fillId="8" borderId="21" xfId="0" applyFont="1" applyFill="1" applyBorder="1" applyAlignment="1">
      <alignment horizontal="center" vertical="top"/>
    </xf>
    <xf numFmtId="0" fontId="0" fillId="0" borderId="6" xfId="0" applyBorder="1"/>
    <xf numFmtId="0" fontId="0" fillId="0" borderId="5" xfId="0" applyBorder="1"/>
    <xf numFmtId="0" fontId="56" fillId="2" borderId="0" xfId="3" applyFont="1" applyFill="1" applyAlignment="1">
      <alignment horizontal="center"/>
    </xf>
    <xf numFmtId="166" fontId="0" fillId="4" borderId="9" xfId="1" applyNumberFormat="1" applyFont="1" applyFill="1" applyBorder="1" applyAlignment="1">
      <alignment horizontal="center" vertical="top"/>
    </xf>
    <xf numFmtId="0" fontId="0" fillId="0" borderId="11" xfId="0" applyBorder="1"/>
    <xf numFmtId="0" fontId="42" fillId="4" borderId="0" xfId="0" applyFont="1" applyFill="1" applyAlignment="1">
      <alignment horizontal="left" vertical="top" wrapText="1"/>
    </xf>
    <xf numFmtId="166" fontId="6" fillId="10" borderId="0" xfId="1" applyNumberFormat="1" applyFont="1" applyFill="1" applyAlignment="1">
      <alignment horizontal="right" vertical="center"/>
    </xf>
    <xf numFmtId="15" fontId="36" fillId="19" borderId="0" xfId="0" applyNumberFormat="1" applyFont="1" applyFill="1" applyAlignment="1">
      <alignment horizontal="left" vertical="center" wrapText="1"/>
    </xf>
    <xf numFmtId="0" fontId="0" fillId="6" borderId="0" xfId="0" applyFill="1" applyAlignment="1" applyProtection="1">
      <alignment vertical="top"/>
      <protection locked="0"/>
    </xf>
    <xf numFmtId="0" fontId="55" fillId="4" borderId="0" xfId="3" applyFont="1" applyFill="1" applyAlignment="1">
      <alignment horizontal="center" vertical="top"/>
    </xf>
    <xf numFmtId="0" fontId="2" fillId="9" borderId="0" xfId="0" applyFont="1" applyFill="1" applyAlignment="1">
      <alignment horizontal="center" vertical="center"/>
    </xf>
    <xf numFmtId="0" fontId="63" fillId="4" borderId="0" xfId="0" applyFont="1" applyFill="1" applyAlignment="1" applyProtection="1">
      <alignment horizontal="left" vertical="top" wrapText="1"/>
      <protection locked="0"/>
    </xf>
    <xf numFmtId="0" fontId="33" fillId="4" borderId="22" xfId="0" applyFont="1" applyFill="1" applyBorder="1" applyAlignment="1">
      <alignment horizontal="center" vertical="center"/>
    </xf>
    <xf numFmtId="0" fontId="0" fillId="0" borderId="22" xfId="0" applyBorder="1"/>
    <xf numFmtId="0" fontId="0" fillId="0" borderId="4" xfId="0" applyBorder="1"/>
    <xf numFmtId="0" fontId="62" fillId="4" borderId="4" xfId="0" applyFont="1" applyFill="1" applyBorder="1" applyAlignment="1">
      <alignment horizontal="center" vertical="top"/>
    </xf>
    <xf numFmtId="0" fontId="2" fillId="9" borderId="6" xfId="0" applyFont="1" applyFill="1" applyBorder="1" applyAlignment="1">
      <alignment horizontal="center" vertical="top"/>
    </xf>
    <xf numFmtId="0" fontId="33" fillId="4" borderId="4" xfId="0" applyFont="1" applyFill="1" applyBorder="1" applyAlignment="1">
      <alignment horizontal="center" vertical="center"/>
    </xf>
    <xf numFmtId="166" fontId="0" fillId="4" borderId="23" xfId="1" applyNumberFormat="1" applyFont="1" applyFill="1" applyBorder="1" applyAlignment="1">
      <alignment horizontal="center" vertical="top"/>
    </xf>
    <xf numFmtId="0" fontId="0" fillId="0" borderId="13" xfId="0" applyBorder="1"/>
    <xf numFmtId="0" fontId="61" fillId="4" borderId="0" xfId="0" applyFont="1" applyFill="1" applyAlignment="1" applyProtection="1">
      <alignment horizontal="right" vertical="top" wrapText="1"/>
      <protection locked="0"/>
    </xf>
    <xf numFmtId="0" fontId="50" fillId="2" borderId="0" xfId="0" applyFont="1" applyFill="1" applyAlignment="1">
      <alignment horizontal="center" textRotation="90"/>
    </xf>
    <xf numFmtId="166" fontId="6" fillId="10" borderId="0" xfId="1" applyNumberFormat="1" applyFont="1" applyFill="1" applyAlignment="1">
      <alignment horizontal="center" vertical="center"/>
    </xf>
    <xf numFmtId="0" fontId="0" fillId="4" borderId="0" xfId="0" applyFill="1" applyAlignment="1">
      <alignment horizontal="right" vertical="top" wrapText="1"/>
    </xf>
    <xf numFmtId="15" fontId="0" fillId="14" borderId="0" xfId="0" applyNumberFormat="1" applyFill="1" applyAlignment="1">
      <alignment horizontal="left" vertical="top"/>
    </xf>
    <xf numFmtId="0" fontId="19" fillId="19" borderId="8" xfId="0" applyFont="1" applyFill="1" applyBorder="1" applyAlignment="1">
      <alignment horizontal="center" vertical="top"/>
    </xf>
    <xf numFmtId="0" fontId="2" fillId="3" borderId="2" xfId="0" applyFont="1" applyFill="1" applyBorder="1" applyAlignment="1">
      <alignment horizontal="center" vertical="top"/>
    </xf>
    <xf numFmtId="0" fontId="0" fillId="0" borderId="2" xfId="0" applyBorder="1"/>
    <xf numFmtId="0" fontId="62" fillId="4" borderId="4" xfId="0" applyFont="1" applyFill="1" applyBorder="1" applyAlignment="1" applyProtection="1">
      <alignment horizontal="center" vertical="top"/>
      <protection locked="0"/>
    </xf>
    <xf numFmtId="0" fontId="0" fillId="0" borderId="4" xfId="0" applyBorder="1" applyProtection="1">
      <protection locked="0"/>
    </xf>
    <xf numFmtId="0" fontId="2" fillId="14" borderId="0" xfId="0" applyFont="1" applyFill="1" applyAlignment="1">
      <alignment horizontal="center" vertical="center" wrapText="1"/>
    </xf>
    <xf numFmtId="0" fontId="4" fillId="14" borderId="0" xfId="0" applyFont="1" applyFill="1" applyAlignment="1">
      <alignment horizontal="right" wrapText="1"/>
    </xf>
    <xf numFmtId="0" fontId="2" fillId="2" borderId="1" xfId="0" applyFont="1" applyFill="1" applyBorder="1" applyAlignment="1">
      <alignment horizontal="center"/>
    </xf>
    <xf numFmtId="0" fontId="0" fillId="0" borderId="0" xfId="0"/>
    <xf numFmtId="0" fontId="2" fillId="2" borderId="15" xfId="0" applyFont="1" applyFill="1" applyBorder="1" applyAlignment="1">
      <alignment horizontal="center"/>
    </xf>
    <xf numFmtId="15" fontId="0" fillId="0" borderId="0" xfId="0" applyNumberFormat="1" applyAlignment="1">
      <alignment horizontal="center"/>
    </xf>
    <xf numFmtId="15" fontId="0" fillId="5" borderId="0" xfId="0" applyNumberFormat="1" applyFill="1" applyAlignment="1">
      <alignment horizontal="left"/>
    </xf>
    <xf numFmtId="0" fontId="79" fillId="28" borderId="0" xfId="0" applyFont="1" applyFill="1" applyAlignment="1">
      <alignment horizontal="center" vertical="center" wrapText="1"/>
    </xf>
    <xf numFmtId="0" fontId="78" fillId="0" borderId="0" xfId="0" applyFont="1" applyAlignment="1">
      <alignment horizontal="center" vertical="center" wrapText="1"/>
    </xf>
    <xf numFmtId="0" fontId="77" fillId="27" borderId="0" xfId="0" applyFont="1" applyFill="1" applyAlignment="1">
      <alignment horizontal="center" vertical="center" wrapText="1"/>
    </xf>
    <xf numFmtId="0" fontId="96" fillId="0" borderId="0" xfId="0" applyFont="1" applyAlignment="1">
      <alignment horizontal="center" vertical="center" wrapText="1"/>
    </xf>
    <xf numFmtId="0" fontId="64" fillId="0" borderId="0" xfId="0" applyFont="1" applyAlignment="1">
      <alignment horizontal="left" vertical="center"/>
    </xf>
    <xf numFmtId="0" fontId="0" fillId="0" borderId="0" xfId="0" applyAlignment="1">
      <alignment vertical="top"/>
    </xf>
    <xf numFmtId="0" fontId="65" fillId="0" borderId="0" xfId="0" applyFont="1" applyAlignment="1">
      <alignment horizontal="center" vertical="top"/>
    </xf>
    <xf numFmtId="0" fontId="2" fillId="0" borderId="0" xfId="0" applyFont="1" applyAlignment="1">
      <alignment horizontal="right" vertical="top" wrapText="1"/>
    </xf>
    <xf numFmtId="0" fontId="0" fillId="6" borderId="0" xfId="0" applyFont="1" applyFill="1" applyAlignment="1">
      <alignment vertical="top"/>
    </xf>
    <xf numFmtId="0" fontId="0" fillId="6" borderId="0" xfId="0" applyFont="1" applyFill="1" applyAlignment="1">
      <alignment horizontal="center" vertical="top"/>
    </xf>
    <xf numFmtId="0" fontId="0" fillId="4" borderId="0" xfId="0" applyFont="1" applyFill="1" applyAlignment="1">
      <alignment vertical="top"/>
    </xf>
    <xf numFmtId="0" fontId="0" fillId="4" borderId="0" xfId="0" applyFont="1" applyFill="1" applyAlignment="1">
      <alignment horizontal="left" vertical="top"/>
    </xf>
    <xf numFmtId="0" fontId="0" fillId="4" borderId="0" xfId="0" applyFont="1" applyFill="1" applyAlignment="1">
      <alignment vertical="top" wrapText="1"/>
    </xf>
    <xf numFmtId="164" fontId="0" fillId="4" borderId="0" xfId="0" applyNumberFormat="1" applyFont="1" applyFill="1" applyAlignment="1">
      <alignment vertical="top" wrapText="1"/>
    </xf>
    <xf numFmtId="164" fontId="0" fillId="4" borderId="0" xfId="0" applyNumberFormat="1" applyFont="1" applyFill="1" applyAlignment="1">
      <alignment vertical="top"/>
    </xf>
    <xf numFmtId="0" fontId="0" fillId="6" borderId="0" xfId="0" applyFont="1" applyFill="1" applyAlignment="1">
      <alignment vertical="top" wrapText="1"/>
    </xf>
    <xf numFmtId="0" fontId="0" fillId="0" borderId="0" xfId="0" applyAlignment="1"/>
    <xf numFmtId="0" fontId="91" fillId="7" borderId="24" xfId="0" applyFont="1" applyFill="1" applyBorder="1" applyAlignment="1">
      <alignment horizontal="left" vertical="center" wrapText="1"/>
    </xf>
    <xf numFmtId="0" fontId="92" fillId="7" borderId="24" xfId="0" applyFont="1" applyFill="1" applyBorder="1" applyAlignment="1">
      <alignment horizontal="center" vertical="center" wrapText="1"/>
    </xf>
    <xf numFmtId="0" fontId="92" fillId="7" borderId="24" xfId="0" applyFont="1" applyFill="1" applyBorder="1" applyAlignment="1">
      <alignment horizontal="left" vertical="center" wrapText="1"/>
    </xf>
    <xf numFmtId="0" fontId="94" fillId="7" borderId="24" xfId="0" applyFont="1" applyFill="1" applyBorder="1" applyAlignment="1">
      <alignment horizontal="center" vertical="center" wrapText="1"/>
    </xf>
    <xf numFmtId="0" fontId="88" fillId="7" borderId="24" xfId="0" applyFont="1" applyFill="1" applyBorder="1" applyAlignment="1">
      <alignment horizontal="left" vertical="center" wrapText="1"/>
    </xf>
    <xf numFmtId="0" fontId="0" fillId="7" borderId="26" xfId="0" applyFill="1" applyBorder="1"/>
    <xf numFmtId="0" fontId="0" fillId="7" borderId="25" xfId="0" applyFill="1" applyBorder="1"/>
    <xf numFmtId="0" fontId="95" fillId="7" borderId="24" xfId="0" applyFont="1" applyFill="1" applyBorder="1" applyAlignment="1">
      <alignment horizontal="center" vertical="center" wrapText="1"/>
    </xf>
    <xf numFmtId="0" fontId="81" fillId="7" borderId="24" xfId="0" applyFont="1" applyFill="1" applyBorder="1" applyAlignment="1">
      <alignment horizontal="center" vertical="center" wrapText="1"/>
    </xf>
    <xf numFmtId="0" fontId="86" fillId="7" borderId="24" xfId="0" applyFont="1" applyFill="1" applyBorder="1" applyAlignment="1">
      <alignment horizontal="center" vertical="center" wrapText="1"/>
    </xf>
    <xf numFmtId="0" fontId="87" fillId="7" borderId="24" xfId="0" applyFont="1" applyFill="1" applyBorder="1" applyAlignment="1">
      <alignment horizontal="left" vertical="center" wrapText="1"/>
    </xf>
    <xf numFmtId="0" fontId="88" fillId="7" borderId="24" xfId="0" applyFont="1" applyFill="1" applyBorder="1" applyAlignment="1">
      <alignment horizontal="left" vertical="center" wrapText="1"/>
    </xf>
    <xf numFmtId="0" fontId="89" fillId="7" borderId="24" xfId="0" applyFont="1" applyFill="1" applyBorder="1" applyAlignment="1">
      <alignment horizontal="center" vertical="center"/>
    </xf>
    <xf numFmtId="0" fontId="90" fillId="7" borderId="24" xfId="0" applyFont="1" applyFill="1" applyBorder="1" applyAlignment="1">
      <alignment horizontal="center" vertical="center"/>
    </xf>
    <xf numFmtId="0" fontId="81" fillId="7" borderId="24" xfId="0" applyFont="1" applyFill="1" applyBorder="1" applyAlignment="1">
      <alignment horizontal="left" vertical="center" wrapText="1"/>
    </xf>
    <xf numFmtId="0" fontId="82" fillId="7" borderId="24" xfId="0" applyFont="1" applyFill="1" applyBorder="1" applyAlignment="1">
      <alignment horizontal="center" vertical="center" wrapText="1"/>
    </xf>
    <xf numFmtId="0" fontId="83" fillId="7" borderId="24" xfId="0" applyFont="1" applyFill="1" applyBorder="1" applyAlignment="1">
      <alignment horizontal="center" vertical="center"/>
    </xf>
    <xf numFmtId="0" fontId="84" fillId="7" borderId="24" xfId="0" applyFont="1" applyFill="1" applyBorder="1" applyAlignment="1">
      <alignment horizontal="center" vertical="center"/>
    </xf>
    <xf numFmtId="0" fontId="85" fillId="7" borderId="24" xfId="0" applyFont="1" applyFill="1" applyBorder="1" applyAlignment="1">
      <alignment horizontal="left" vertical="center" wrapText="1"/>
    </xf>
    <xf numFmtId="0" fontId="99" fillId="30" borderId="24" xfId="0" applyFont="1" applyFill="1" applyBorder="1" applyAlignment="1">
      <alignment horizontal="left" vertical="center" wrapText="1"/>
    </xf>
    <xf numFmtId="0" fontId="98" fillId="30" borderId="25" xfId="0" applyFont="1" applyFill="1" applyBorder="1"/>
    <xf numFmtId="0" fontId="100" fillId="30" borderId="27" xfId="0" applyFont="1" applyFill="1" applyBorder="1" applyAlignment="1">
      <alignment horizontal="center" vertical="center" wrapText="1"/>
    </xf>
    <xf numFmtId="0" fontId="100" fillId="30" borderId="26" xfId="0" applyFont="1" applyFill="1" applyBorder="1" applyAlignment="1">
      <alignment horizontal="center" vertical="center" wrapText="1"/>
    </xf>
    <xf numFmtId="0" fontId="100" fillId="30" borderId="25"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1349">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ont>
        <color rgb="FF0070C0"/>
      </font>
      <fill>
        <patternFill>
          <bgColor auto="1"/>
        </patternFill>
      </fill>
    </dxf>
    <dxf>
      <font>
        <color rgb="FF0070C0"/>
      </font>
    </dxf>
    <dxf>
      <fill>
        <patternFill>
          <bgColor rgb="FFC00000"/>
        </patternFill>
      </fill>
    </dxf>
    <dxf>
      <font>
        <strike/>
        <color rgb="FFC00000"/>
      </font>
    </dxf>
    <dxf>
      <font>
        <color rgb="FF0070C0"/>
      </font>
      <fill>
        <patternFill>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ont>
        <strike/>
        <color rgb="FFC00000"/>
      </font>
    </dxf>
    <dxf>
      <font>
        <strike/>
        <color rgb="FFC00000"/>
      </font>
      <fill>
        <patternFill>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bgColor auto="1"/>
        </patternFill>
      </fill>
    </dxf>
    <dxf>
      <font>
        <color rgb="FF0070C0"/>
      </font>
      <fill>
        <patternFill>
          <bgColor auto="1"/>
        </patternFill>
      </fill>
    </dxf>
    <dxf>
      <font>
        <color rgb="FF0070C0"/>
      </font>
    </dxf>
    <dxf>
      <font>
        <strike/>
        <color rgb="FFC00000"/>
      </font>
    </dxf>
    <dxf>
      <font>
        <strike/>
        <color rgb="FFC00000"/>
      </font>
      <fill>
        <patternFill>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bgColor auto="1"/>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ont>
        <color rgb="FF0070C0"/>
      </font>
      <fill>
        <patternFill>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theme="8" tint="-0.24994659260841701"/>
      </font>
      <fill>
        <patternFill>
          <bgColor theme="7" tint="0.59996337778862885"/>
        </patternFill>
      </fill>
    </dxf>
    <dxf>
      <font>
        <strike/>
        <color rgb="FFC00000"/>
      </font>
    </dxf>
    <dxf>
      <font>
        <strike/>
        <color rgb="FFC00000"/>
      </font>
      <fill>
        <patternFill>
          <bgColor auto="1"/>
        </patternFill>
      </fill>
    </dxf>
    <dxf>
      <fill>
        <patternFill>
          <bgColor rgb="FFC00000"/>
        </patternFill>
      </fill>
    </dxf>
    <dxf>
      <fill>
        <patternFill>
          <bgColor rgb="FFC00000"/>
        </patternFill>
      </fill>
    </dxf>
    <dxf>
      <fill>
        <patternFill>
          <bgColor rgb="FFC00000"/>
        </patternFill>
      </fill>
    </dxf>
    <dxf>
      <font>
        <strike/>
        <color rgb="FFC00000"/>
      </font>
    </dxf>
    <dxf>
      <font>
        <color rgb="FF0070C0"/>
      </font>
      <fill>
        <patternFill>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FFFF00"/>
        </patternFill>
      </fill>
    </dxf>
    <dxf>
      <fill>
        <patternFill>
          <bgColor rgb="FFFFFF00"/>
        </patternFill>
      </fill>
    </dxf>
    <dxf>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0.31224658064548572"/>
          <c:y val="0.26311006357607369"/>
          <c:w val="0.43439250997337919"/>
          <c:h val="0.45355678900473162"/>
        </c:manualLayout>
      </c:layout>
      <c:pieChart>
        <c:varyColors val="1"/>
        <c:ser>
          <c:idx val="0"/>
          <c:order val="0"/>
          <c:spPr>
            <a:ln>
              <a:prstDash val="solid"/>
            </a:ln>
          </c:spPr>
          <c:dPt>
            <c:idx val="0"/>
            <c:bubble3D val="0"/>
            <c:spPr>
              <a:solidFill>
                <a:schemeClr val="accent1"/>
              </a:solidFill>
              <a:ln>
                <a:noFill/>
                <a:prstDash val="solid"/>
              </a:ln>
            </c:spPr>
            <c:extLst>
              <c:ext xmlns:c16="http://schemas.microsoft.com/office/drawing/2014/chart" uri="{C3380CC4-5D6E-409C-BE32-E72D297353CC}">
                <c16:uniqueId val="{00000001-038B-4426-B08D-63C12C56CBFC}"/>
              </c:ext>
            </c:extLst>
          </c:dPt>
          <c:dPt>
            <c:idx val="1"/>
            <c:bubble3D val="0"/>
            <c:spPr>
              <a:solidFill>
                <a:schemeClr val="accent2"/>
              </a:solidFill>
              <a:ln>
                <a:noFill/>
                <a:prstDash val="solid"/>
              </a:ln>
            </c:spPr>
            <c:extLst>
              <c:ext xmlns:c16="http://schemas.microsoft.com/office/drawing/2014/chart" uri="{C3380CC4-5D6E-409C-BE32-E72D297353CC}">
                <c16:uniqueId val="{00000003-038B-4426-B08D-63C12C56CBFC}"/>
              </c:ext>
            </c:extLst>
          </c:dPt>
          <c:dPt>
            <c:idx val="2"/>
            <c:bubble3D val="0"/>
            <c:spPr>
              <a:solidFill>
                <a:schemeClr val="accent3"/>
              </a:solidFill>
              <a:ln>
                <a:noFill/>
                <a:prstDash val="solid"/>
              </a:ln>
            </c:spPr>
            <c:extLst>
              <c:ext xmlns:c16="http://schemas.microsoft.com/office/drawing/2014/chart" uri="{C3380CC4-5D6E-409C-BE32-E72D297353CC}">
                <c16:uniqueId val="{00000005-038B-4426-B08D-63C12C56CBFC}"/>
              </c:ext>
            </c:extLst>
          </c:dPt>
          <c:dPt>
            <c:idx val="3"/>
            <c:bubble3D val="0"/>
            <c:spPr>
              <a:solidFill>
                <a:schemeClr val="accent4"/>
              </a:solidFill>
              <a:ln>
                <a:noFill/>
                <a:prstDash val="solid"/>
              </a:ln>
            </c:spPr>
            <c:extLst>
              <c:ext xmlns:c16="http://schemas.microsoft.com/office/drawing/2014/chart" uri="{C3380CC4-5D6E-409C-BE32-E72D297353CC}">
                <c16:uniqueId val="{00000007-038B-4426-B08D-63C12C56CBFC}"/>
              </c:ext>
            </c:extLst>
          </c:dPt>
          <c:dPt>
            <c:idx val="4"/>
            <c:bubble3D val="0"/>
            <c:spPr>
              <a:solidFill>
                <a:schemeClr val="accent5"/>
              </a:solidFill>
              <a:ln>
                <a:noFill/>
                <a:prstDash val="solid"/>
              </a:ln>
            </c:spPr>
            <c:extLst>
              <c:ext xmlns:c16="http://schemas.microsoft.com/office/drawing/2014/chart" uri="{C3380CC4-5D6E-409C-BE32-E72D297353CC}">
                <c16:uniqueId val="{00000009-038B-4426-B08D-63C12C56CBFC}"/>
              </c:ext>
            </c:extLst>
          </c:dPt>
          <c:dPt>
            <c:idx val="5"/>
            <c:bubble3D val="0"/>
            <c:spPr>
              <a:solidFill>
                <a:schemeClr val="accent6"/>
              </a:solidFill>
              <a:ln>
                <a:noFill/>
                <a:prstDash val="solid"/>
              </a:ln>
            </c:spPr>
            <c:extLst>
              <c:ext xmlns:c16="http://schemas.microsoft.com/office/drawing/2014/chart" uri="{C3380CC4-5D6E-409C-BE32-E72D297353CC}">
                <c16:uniqueId val="{0000000B-038B-4426-B08D-63C12C56CBFC}"/>
              </c:ext>
            </c:extLst>
          </c:dPt>
          <c:dLbls>
            <c:dLbl>
              <c:idx val="0"/>
              <c:spPr>
                <a:noFill/>
                <a:ln>
                  <a:noFill/>
                  <a:prstDash val="solid"/>
                </a:ln>
              </c:spPr>
              <c:txPr>
                <a:bodyPr rot="0" spcFirstLastPara="1" vertOverflow="ellipsis" vert="horz" wrap="square" lIns="38100" tIns="19050" rIns="38100" bIns="19050" anchor="ctr" anchorCtr="1">
                  <a:spAutoFit/>
                </a:bodyPr>
                <a:lstStyle/>
                <a:p>
                  <a:pPr>
                    <a:defRPr sz="1000" b="1" i="0"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1-038B-4426-B08D-63C12C56CBFC}"/>
                </c:ext>
              </c:extLst>
            </c:dLbl>
            <c:dLbl>
              <c:idx val="1"/>
              <c:spPr>
                <a:noFill/>
                <a:ln>
                  <a:noFill/>
                  <a:prstDash val="solid"/>
                </a:ln>
              </c:spPr>
              <c:txPr>
                <a:bodyPr rot="0" spcFirstLastPara="1" vertOverflow="ellipsis" vert="horz" wrap="square" lIns="38100" tIns="19050" rIns="38100" bIns="19050" anchor="ctr" anchorCtr="1">
                  <a:spAutoFit/>
                </a:bodyPr>
                <a:lstStyle/>
                <a:p>
                  <a:pPr>
                    <a:defRPr sz="1000" b="1" i="0" strike="noStrike" kern="1200" spc="0" baseline="0">
                      <a:solidFill>
                        <a:schemeClr val="accent2"/>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3-038B-4426-B08D-63C12C56CBFC}"/>
                </c:ext>
              </c:extLst>
            </c:dLbl>
            <c:dLbl>
              <c:idx val="2"/>
              <c:spPr>
                <a:noFill/>
                <a:ln>
                  <a:noFill/>
                  <a:prstDash val="solid"/>
                </a:ln>
              </c:spPr>
              <c:txPr>
                <a:bodyPr rot="0" spcFirstLastPara="1" vertOverflow="ellipsis" vert="horz" wrap="square" lIns="38100" tIns="19050" rIns="38100" bIns="19050" anchor="ctr" anchorCtr="1">
                  <a:spAutoFit/>
                </a:bodyPr>
                <a:lstStyle/>
                <a:p>
                  <a:pPr>
                    <a:defRPr sz="1000" b="1" i="0"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5-038B-4426-B08D-63C12C56CBFC}"/>
                </c:ext>
              </c:extLst>
            </c:dLbl>
            <c:dLbl>
              <c:idx val="3"/>
              <c:spPr>
                <a:noFill/>
                <a:ln>
                  <a:noFill/>
                  <a:prstDash val="solid"/>
                </a:ln>
              </c:spPr>
              <c:txPr>
                <a:bodyPr rot="0" spcFirstLastPara="1" vertOverflow="ellipsis" vert="horz" wrap="square" lIns="38100" tIns="19050" rIns="38100" bIns="19050" anchor="ctr" anchorCtr="1">
                  <a:spAutoFit/>
                </a:bodyPr>
                <a:lstStyle/>
                <a:p>
                  <a:pPr>
                    <a:defRPr sz="1000" b="1" i="0" strike="noStrike" kern="1200" spc="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7-038B-4426-B08D-63C12C56CBFC}"/>
                </c:ext>
              </c:extLst>
            </c:dLbl>
            <c:dLbl>
              <c:idx val="4"/>
              <c:spPr>
                <a:noFill/>
                <a:ln>
                  <a:noFill/>
                  <a:prstDash val="solid"/>
                </a:ln>
              </c:spPr>
              <c:txPr>
                <a:bodyPr rot="0" spcFirstLastPara="1" vertOverflow="ellipsis" vert="horz" wrap="square" lIns="38100" tIns="19050" rIns="38100" bIns="19050" anchor="ctr" anchorCtr="1">
                  <a:spAutoFit/>
                </a:bodyPr>
                <a:lstStyle/>
                <a:p>
                  <a:pPr>
                    <a:defRPr sz="1000" b="1" i="0" strike="noStrike" kern="1200" spc="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9-038B-4426-B08D-63C12C56CBFC}"/>
                </c:ext>
              </c:extLst>
            </c:dLbl>
            <c:dLbl>
              <c:idx val="5"/>
              <c:spPr>
                <a:noFill/>
                <a:ln>
                  <a:noFill/>
                  <a:prstDash val="solid"/>
                </a:ln>
              </c:spPr>
              <c:txPr>
                <a:bodyPr rot="0" spcFirstLastPara="1" vertOverflow="ellipsis" vert="horz" wrap="square" lIns="38100" tIns="19050" rIns="38100" bIns="19050" anchor="ctr" anchorCtr="1">
                  <a:spAutoFit/>
                </a:bodyPr>
                <a:lstStyle/>
                <a:p>
                  <a:pPr>
                    <a:defRPr sz="1000" b="1" i="0" strike="noStrike" kern="1200" spc="0" baseline="0">
                      <a:solidFill>
                        <a:schemeClr val="accent6"/>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B-038B-4426-B08D-63C12C56CBFC}"/>
                </c:ext>
              </c:extLst>
            </c:dLbl>
            <c:spPr>
              <a:noFill/>
              <a:ln>
                <a:noFill/>
                <a:prstDash val="solid"/>
              </a:ln>
            </c:sp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Estimation!$L$445:$L$450</c:f>
              <c:strCache>
                <c:ptCount val="6"/>
                <c:pt idx="0">
                  <c:v>Req</c:v>
                </c:pt>
                <c:pt idx="1">
                  <c:v>Design</c:v>
                </c:pt>
                <c:pt idx="2">
                  <c:v>Dev.</c:v>
                </c:pt>
                <c:pt idx="3">
                  <c:v>QA</c:v>
                </c:pt>
                <c:pt idx="4">
                  <c:v>UAT Etc.</c:v>
                </c:pt>
                <c:pt idx="5">
                  <c:v>Others</c:v>
                </c:pt>
              </c:strCache>
            </c:strRef>
          </c:cat>
          <c:val>
            <c:numRef>
              <c:f>Estimation!$O$445:$O$450</c:f>
              <c:numCache>
                <c:formatCode>0</c:formatCode>
                <c:ptCount val="6"/>
                <c:pt idx="0">
                  <c:v>57</c:v>
                </c:pt>
                <c:pt idx="1">
                  <c:v>51</c:v>
                </c:pt>
                <c:pt idx="2">
                  <c:v>367</c:v>
                </c:pt>
                <c:pt idx="3">
                  <c:v>131</c:v>
                </c:pt>
                <c:pt idx="4">
                  <c:v>75</c:v>
                </c:pt>
                <c:pt idx="5">
                  <c:v>76</c:v>
                </c:pt>
              </c:numCache>
            </c:numRef>
          </c:val>
          <c:extLst>
            <c:ext xmlns:c16="http://schemas.microsoft.com/office/drawing/2014/chart" uri="{C3380CC4-5D6E-409C-BE32-E72D297353CC}">
              <c16:uniqueId val="{0000000C-038B-4426-B08D-63C12C56CBFC}"/>
            </c:ext>
          </c:extLst>
        </c:ser>
        <c:dLbls>
          <c:dLblPos val="bestFit"/>
          <c:showLegendKey val="0"/>
          <c:showVal val="1"/>
          <c:showCatName val="0"/>
          <c:showSerName val="0"/>
          <c:showPercent val="0"/>
          <c:showBubbleSize val="0"/>
          <c:showLeaderLines val="1"/>
        </c:dLbls>
        <c:firstSliceAng val="0"/>
      </c:pieChart>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24</xdr:col>
      <xdr:colOff>89647</xdr:colOff>
      <xdr:row>443</xdr:row>
      <xdr:rowOff>100852</xdr:rowOff>
    </xdr:from>
    <xdr:to>
      <xdr:col>26</xdr:col>
      <xdr:colOff>515471</xdr:colOff>
      <xdr:row>451</xdr:row>
      <xdr:rowOff>22411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27</xdr:col>
      <xdr:colOff>1309430</xdr:colOff>
      <xdr:row>1</xdr:row>
      <xdr:rowOff>27173</xdr:rowOff>
    </xdr:from>
    <xdr:to>
      <xdr:col>27</xdr:col>
      <xdr:colOff>2317748</xdr:colOff>
      <xdr:row>4</xdr:row>
      <xdr:rowOff>23302</xdr:rowOff>
    </xdr:to>
    <xdr:pic>
      <xdr:nvPicPr>
        <xdr:cNvPr id="3" name="Picture 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stretch>
          <a:fillRect/>
        </a:stretch>
      </xdr:blipFill>
      <xdr:spPr>
        <a:xfrm>
          <a:off x="10379347" y="80090"/>
          <a:ext cx="1008318" cy="396160"/>
        </a:xfrm>
        <a:prstGeom prst="rect">
          <a:avLst/>
        </a:prstGeom>
        <a:ln>
          <a:noFill/>
          <a:prstDash val="solid"/>
        </a:ln>
      </xdr:spPr>
    </xdr:pic>
    <xdr:clientData/>
  </xdr:twoCellAnchor>
  <mc:AlternateContent xmlns:mc="http://schemas.openxmlformats.org/markup-compatibility/2006">
    <mc:Choice xmlns:a14="http://schemas.microsoft.com/office/drawing/2010/main" Requires="a14">
      <xdr:twoCellAnchor editAs="oneCell">
        <xdr:from>
          <xdr:col>11</xdr:col>
          <xdr:colOff>19050</xdr:colOff>
          <xdr:row>8</xdr:row>
          <xdr:rowOff>12700</xdr:rowOff>
        </xdr:from>
        <xdr:to>
          <xdr:col>13</xdr:col>
          <xdr:colOff>76200</xdr:colOff>
          <xdr:row>9</xdr:row>
          <xdr:rowOff>69850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90A2D225-C0FB-29D8-964B-DA6D5398C0D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Before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127000</xdr:colOff>
          <xdr:row>8</xdr:row>
          <xdr:rowOff>12700</xdr:rowOff>
        </xdr:from>
        <xdr:to>
          <xdr:col>13</xdr:col>
          <xdr:colOff>819150</xdr:colOff>
          <xdr:row>9</xdr:row>
          <xdr:rowOff>69850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BD5C6AAA-16DF-DDF6-CB1E-667B3210218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1600200</xdr:colOff>
          <xdr:row>8</xdr:row>
          <xdr:rowOff>12700</xdr:rowOff>
        </xdr:from>
        <xdr:to>
          <xdr:col>13</xdr:col>
          <xdr:colOff>2298700</xdr:colOff>
          <xdr:row>9</xdr:row>
          <xdr:rowOff>69850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5153B6AF-57D3-279E-78A4-64B6AC3BD3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2336800</xdr:colOff>
          <xdr:row>8</xdr:row>
          <xdr:rowOff>12700</xdr:rowOff>
        </xdr:from>
        <xdr:to>
          <xdr:col>14</xdr:col>
          <xdr:colOff>190500</xdr:colOff>
          <xdr:row>9</xdr:row>
          <xdr:rowOff>69850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507BE6F6-B14B-405D-0A4D-8F0CA77AFBC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Move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xdr:row>
          <xdr:rowOff>12700</xdr:rowOff>
        </xdr:from>
        <xdr:to>
          <xdr:col>15</xdr:col>
          <xdr:colOff>12700</xdr:colOff>
          <xdr:row>9</xdr:row>
          <xdr:rowOff>69850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54B38DF8-87BA-25B8-2B29-6396C7EE12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857250</xdr:colOff>
          <xdr:row>8</xdr:row>
          <xdr:rowOff>12700</xdr:rowOff>
        </xdr:from>
        <xdr:to>
          <xdr:col>13</xdr:col>
          <xdr:colOff>1555750</xdr:colOff>
          <xdr:row>9</xdr:row>
          <xdr:rowOff>69850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26634D72-84E0-03E1-2276-F8B9CDEE3F1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139598</xdr:colOff>
      <xdr:row>15</xdr:row>
      <xdr:rowOff>180975</xdr:rowOff>
    </xdr:from>
    <xdr:to>
      <xdr:col>6</xdr:col>
      <xdr:colOff>95250</xdr:colOff>
      <xdr:row>23</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a:srcRect t="630"/>
        <a:stretch>
          <a:fillRect/>
        </a:stretch>
      </xdr:blipFill>
      <xdr:spPr>
        <a:xfrm>
          <a:off x="139598" y="2828925"/>
          <a:ext cx="1098652" cy="1381125"/>
        </a:xfrm>
        <a:prstGeom prst="rect">
          <a:avLst/>
        </a:prstGeom>
        <a:ln>
          <a:noFill/>
          <a:prstDash val="solid"/>
        </a:ln>
      </xdr:spPr>
    </xdr:pic>
    <xdr:clientData/>
  </xdr:twoCellAnchor>
  <xdr:twoCellAnchor>
    <xdr:from>
      <xdr:col>30</xdr:col>
      <xdr:colOff>152400</xdr:colOff>
      <xdr:row>16</xdr:row>
      <xdr:rowOff>9526</xdr:rowOff>
    </xdr:from>
    <xdr:to>
      <xdr:col>36</xdr:col>
      <xdr:colOff>76200</xdr:colOff>
      <xdr:row>23</xdr:row>
      <xdr:rowOff>28576</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057900" y="3146426"/>
          <a:ext cx="1104900" cy="1314450"/>
          <a:chOff x="7297293" y="2273427"/>
          <a:chExt cx="1511046" cy="2476500"/>
        </a:xfrm>
      </xdr:grpSpPr>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60563"/>
          <a:stretch>
            <a:fillRect/>
          </a:stretch>
        </xdr:blipFill>
        <xdr:spPr>
          <a:xfrm>
            <a:off x="8034528" y="2273427"/>
            <a:ext cx="773811" cy="2476500"/>
          </a:xfrm>
          <a:prstGeom prst="rect">
            <a:avLst/>
          </a:prstGeom>
          <a:ln>
            <a:prstDash val="solid"/>
          </a:ln>
        </xdr:spPr>
      </xdr:pic>
    </xdr:grpSp>
    <xdr:clientData/>
  </xdr:twoCellAnchor>
  <xdr:twoCellAnchor editAs="oneCell">
    <xdr:from>
      <xdr:col>1</xdr:col>
      <xdr:colOff>152400</xdr:colOff>
      <xdr:row>37</xdr:row>
      <xdr:rowOff>85725</xdr:rowOff>
    </xdr:from>
    <xdr:to>
      <xdr:col>22</xdr:col>
      <xdr:colOff>151900</xdr:colOff>
      <xdr:row>40</xdr:row>
      <xdr:rowOff>38035</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a:stretch>
          <a:fillRect/>
        </a:stretch>
      </xdr:blipFill>
      <xdr:spPr>
        <a:xfrm>
          <a:off x="342900" y="6543675"/>
          <a:ext cx="4000000" cy="523810"/>
        </a:xfrm>
        <a:prstGeom prst="rect">
          <a:avLst/>
        </a:prstGeom>
        <a:ln>
          <a:noFill/>
          <a:prstDash val="solid"/>
        </a:ln>
      </xdr:spPr>
    </xdr:pic>
    <xdr:clientData/>
  </xdr:twoCellAnchor>
  <xdr:twoCellAnchor editAs="oneCell">
    <xdr:from>
      <xdr:col>18</xdr:col>
      <xdr:colOff>19050</xdr:colOff>
      <xdr:row>49</xdr:row>
      <xdr:rowOff>47625</xdr:rowOff>
    </xdr:from>
    <xdr:to>
      <xdr:col>58</xdr:col>
      <xdr:colOff>141907</xdr:colOff>
      <xdr:row>61</xdr:row>
      <xdr:rowOff>47339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4"/>
        <a:stretch>
          <a:fillRect/>
        </a:stretch>
      </xdr:blipFill>
      <xdr:spPr>
        <a:xfrm>
          <a:off x="3448050" y="8601075"/>
          <a:ext cx="7742857" cy="2285714"/>
        </a:xfrm>
        <a:prstGeom prst="rect">
          <a:avLst/>
        </a:prstGeom>
        <a:ln>
          <a:noFill/>
          <a:prstDash val="solid"/>
        </a:ln>
      </xdr:spPr>
    </xdr:pic>
    <xdr:clientData/>
  </xdr:twoCellAnchor>
  <xdr:twoCellAnchor editAs="oneCell">
    <xdr:from>
      <xdr:col>0</xdr:col>
      <xdr:colOff>171450</xdr:colOff>
      <xdr:row>57</xdr:row>
      <xdr:rowOff>152400</xdr:rowOff>
    </xdr:from>
    <xdr:to>
      <xdr:col>34</xdr:col>
      <xdr:colOff>151593</xdr:colOff>
      <xdr:row>68</xdr:row>
      <xdr:rowOff>152138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171450" y="11182350"/>
          <a:ext cx="6457143" cy="2095238"/>
        </a:xfrm>
        <a:prstGeom prst="rect">
          <a:avLst/>
        </a:prstGeom>
        <a:ln>
          <a:noFill/>
          <a:prstDash val="solid"/>
        </a:ln>
      </xdr:spPr>
    </xdr:pic>
    <xdr:clientData/>
  </xdr:twoCellAnchor>
  <xdr:twoCellAnchor editAs="oneCell">
    <xdr:from>
      <xdr:col>19</xdr:col>
      <xdr:colOff>180975</xdr:colOff>
      <xdr:row>70</xdr:row>
      <xdr:rowOff>123825</xdr:rowOff>
    </xdr:from>
    <xdr:to>
      <xdr:col>60</xdr:col>
      <xdr:colOff>8570</xdr:colOff>
      <xdr:row>80</xdr:row>
      <xdr:rowOff>37873</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6"/>
        <a:stretch>
          <a:fillRect/>
        </a:stretch>
      </xdr:blipFill>
      <xdr:spPr>
        <a:xfrm>
          <a:off x="3800475" y="12677775"/>
          <a:ext cx="7638095" cy="1819048"/>
        </a:xfrm>
        <a:prstGeom prst="rect">
          <a:avLst/>
        </a:prstGeom>
        <a:ln>
          <a:noFill/>
          <a:prstDash val="solid"/>
        </a:ln>
      </xdr:spPr>
    </xdr:pic>
    <xdr:clientData/>
  </xdr:twoCellAnchor>
  <xdr:twoCellAnchor editAs="oneCell">
    <xdr:from>
      <xdr:col>0</xdr:col>
      <xdr:colOff>114300</xdr:colOff>
      <xdr:row>75</xdr:row>
      <xdr:rowOff>47625</xdr:rowOff>
    </xdr:from>
    <xdr:to>
      <xdr:col>17</xdr:col>
      <xdr:colOff>171038</xdr:colOff>
      <xdr:row>78</xdr:row>
      <xdr:rowOff>28506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7"/>
        <a:stretch>
          <a:fillRect/>
        </a:stretch>
      </xdr:blipFill>
      <xdr:spPr>
        <a:xfrm>
          <a:off x="114300" y="13554075"/>
          <a:ext cx="3295238" cy="552381"/>
        </a:xfrm>
        <a:prstGeom prst="rect">
          <a:avLst/>
        </a:prstGeom>
        <a:ln>
          <a:noFill/>
          <a:prstDash val="solid"/>
        </a:ln>
      </xdr:spPr>
    </xdr:pic>
    <xdr:clientData/>
  </xdr:twoCellAnchor>
  <xdr:twoCellAnchor editAs="oneCell">
    <xdr:from>
      <xdr:col>1</xdr:col>
      <xdr:colOff>142875</xdr:colOff>
      <xdr:row>87</xdr:row>
      <xdr:rowOff>152400</xdr:rowOff>
    </xdr:from>
    <xdr:to>
      <xdr:col>25</xdr:col>
      <xdr:colOff>85161</xdr:colOff>
      <xdr:row>100</xdr:row>
      <xdr:rowOff>75900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8"/>
        <a:stretch>
          <a:fillRect/>
        </a:stretch>
      </xdr:blipFill>
      <xdr:spPr>
        <a:xfrm>
          <a:off x="333375" y="16563975"/>
          <a:ext cx="4514286" cy="2400000"/>
        </a:xfrm>
        <a:prstGeom prst="rect">
          <a:avLst/>
        </a:prstGeom>
        <a:ln>
          <a:noFill/>
          <a:prstDash val="solid"/>
        </a:ln>
      </xdr:spPr>
    </xdr:pic>
    <xdr:clientData/>
  </xdr:twoCellAnchor>
  <xdr:twoCellAnchor editAs="oneCell">
    <xdr:from>
      <xdr:col>36</xdr:col>
      <xdr:colOff>123825</xdr:colOff>
      <xdr:row>82</xdr:row>
      <xdr:rowOff>47625</xdr:rowOff>
    </xdr:from>
    <xdr:to>
      <xdr:col>45</xdr:col>
      <xdr:colOff>47420</xdr:colOff>
      <xdr:row>89</xdr:row>
      <xdr:rowOff>114119</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9"/>
        <a:stretch>
          <a:fillRect/>
        </a:stretch>
      </xdr:blipFill>
      <xdr:spPr>
        <a:xfrm>
          <a:off x="6981825" y="15459075"/>
          <a:ext cx="1638095" cy="1447619"/>
        </a:xfrm>
        <a:prstGeom prst="rect">
          <a:avLst/>
        </a:prstGeom>
        <a:ln>
          <a:noFill/>
          <a:prstDash val="solid"/>
        </a:ln>
      </xdr:spPr>
    </xdr:pic>
    <xdr:clientData/>
  </xdr:twoCellAnchor>
  <xdr:twoCellAnchor editAs="oneCell">
    <xdr:from>
      <xdr:col>2</xdr:col>
      <xdr:colOff>9525</xdr:colOff>
      <xdr:row>105</xdr:row>
      <xdr:rowOff>104775</xdr:rowOff>
    </xdr:from>
    <xdr:to>
      <xdr:col>18</xdr:col>
      <xdr:colOff>75811</xdr:colOff>
      <xdr:row>109</xdr:row>
      <xdr:rowOff>114204</xdr:rowOff>
    </xdr:to>
    <xdr:pic>
      <xdr:nvPicPr>
        <xdr:cNvPr id="42" name="Picture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0"/>
        <a:stretch>
          <a:fillRect/>
        </a:stretch>
      </xdr:blipFill>
      <xdr:spPr>
        <a:xfrm>
          <a:off x="390525" y="20154900"/>
          <a:ext cx="3114286" cy="771429"/>
        </a:xfrm>
        <a:prstGeom prst="rect">
          <a:avLst/>
        </a:prstGeom>
        <a:ln>
          <a:noFill/>
          <a:prstDash val="solid"/>
        </a:ln>
      </xdr:spPr>
    </xdr:pic>
    <xdr:clientData/>
  </xdr:twoCellAnchor>
  <xdr:twoCellAnchor editAs="oneCell">
    <xdr:from>
      <xdr:col>44</xdr:col>
      <xdr:colOff>104775</xdr:colOff>
      <xdr:row>113</xdr:row>
      <xdr:rowOff>57150</xdr:rowOff>
    </xdr:from>
    <xdr:to>
      <xdr:col>56</xdr:col>
      <xdr:colOff>133061</xdr:colOff>
      <xdr:row>114</xdr:row>
      <xdr:rowOff>123793</xdr:rowOff>
    </xdr:to>
    <xdr:pic>
      <xdr:nvPicPr>
        <xdr:cNvPr id="49" name="Picture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1"/>
        <a:stretch>
          <a:fillRect/>
        </a:stretch>
      </xdr:blipFill>
      <xdr:spPr>
        <a:xfrm>
          <a:off x="8486775" y="21631275"/>
          <a:ext cx="2314286" cy="257143"/>
        </a:xfrm>
        <a:prstGeom prst="rect">
          <a:avLst/>
        </a:prstGeom>
        <a:ln>
          <a:prstDash val="solid"/>
        </a:ln>
      </xdr:spPr>
    </xdr:pic>
    <xdr:clientData/>
  </xdr:twoCellAnchor>
  <xdr:twoCellAnchor>
    <xdr:from>
      <xdr:col>2</xdr:col>
      <xdr:colOff>66675</xdr:colOff>
      <xdr:row>122</xdr:row>
      <xdr:rowOff>0</xdr:rowOff>
    </xdr:from>
    <xdr:to>
      <xdr:col>14</xdr:col>
      <xdr:colOff>47342</xdr:colOff>
      <xdr:row>126</xdr:row>
      <xdr:rowOff>152286</xdr:rowOff>
    </xdr:to>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2"/>
        <a:stretch>
          <a:fillRect/>
        </a:stretch>
      </xdr:blipFill>
      <xdr:spPr>
        <a:xfrm>
          <a:off x="447675" y="23288625"/>
          <a:ext cx="2266667" cy="914286"/>
        </a:xfrm>
        <a:prstGeom prst="rect">
          <a:avLst/>
        </a:prstGeom>
        <a:ln>
          <a:noFill/>
          <a:prstDash val="solid"/>
        </a:ln>
      </xdr:spPr>
    </xdr:pic>
    <xdr:clientData/>
  </xdr:twoCellAnchor>
  <xdr:twoCellAnchor>
    <xdr:from>
      <xdr:col>45</xdr:col>
      <xdr:colOff>171450</xdr:colOff>
      <xdr:row>121</xdr:row>
      <xdr:rowOff>104775</xdr:rowOff>
    </xdr:from>
    <xdr:to>
      <xdr:col>61</xdr:col>
      <xdr:colOff>190117</xdr:colOff>
      <xdr:row>126</xdr:row>
      <xdr:rowOff>47513</xdr:rowOff>
    </xdr:to>
    <xdr:pic>
      <xdr:nvPicPr>
        <xdr:cNvPr id="54" name="Picture 53">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3"/>
        <a:stretch>
          <a:fillRect/>
        </a:stretch>
      </xdr:blipFill>
      <xdr:spPr>
        <a:xfrm>
          <a:off x="8743950" y="23202900"/>
          <a:ext cx="3066667" cy="895238"/>
        </a:xfrm>
        <a:prstGeom prst="rect">
          <a:avLst/>
        </a:prstGeom>
        <a:ln>
          <a:noFill/>
          <a:prstDash val="solid"/>
        </a:ln>
      </xdr:spPr>
    </xdr:pic>
    <xdr:clientData/>
  </xdr:twoCellAnchor>
  <xdr:twoCellAnchor editAs="oneCell">
    <xdr:from>
      <xdr:col>3</xdr:col>
      <xdr:colOff>0</xdr:colOff>
      <xdr:row>133</xdr:row>
      <xdr:rowOff>66675</xdr:rowOff>
    </xdr:from>
    <xdr:to>
      <xdr:col>58</xdr:col>
      <xdr:colOff>36786</xdr:colOff>
      <xdr:row>139</xdr:row>
      <xdr:rowOff>133199</xdr:rowOff>
    </xdr:to>
    <xdr:pic>
      <xdr:nvPicPr>
        <xdr:cNvPr id="59" name="Picture 58">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4"/>
        <a:stretch>
          <a:fillRect/>
        </a:stretch>
      </xdr:blipFill>
      <xdr:spPr>
        <a:xfrm>
          <a:off x="571500" y="25450800"/>
          <a:ext cx="10514286" cy="1209524"/>
        </a:xfrm>
        <a:prstGeom prst="rect">
          <a:avLst/>
        </a:prstGeom>
        <a:ln>
          <a:prstDash val="solid"/>
        </a:ln>
      </xdr:spPr>
    </xdr:pic>
    <xdr:clientData/>
  </xdr:twoCellAnchor>
  <xdr:twoCellAnchor editAs="oneCell">
    <xdr:from>
      <xdr:col>5</xdr:col>
      <xdr:colOff>171450</xdr:colOff>
      <xdr:row>154</xdr:row>
      <xdr:rowOff>152400</xdr:rowOff>
    </xdr:from>
    <xdr:to>
      <xdr:col>57</xdr:col>
      <xdr:colOff>170212</xdr:colOff>
      <xdr:row>172</xdr:row>
      <xdr:rowOff>180543</xdr:rowOff>
    </xdr:to>
    <xdr:pic>
      <xdr:nvPicPr>
        <xdr:cNvPr id="67" name="Picture 66">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15"/>
        <a:stretch>
          <a:fillRect/>
        </a:stretch>
      </xdr:blipFill>
      <xdr:spPr>
        <a:xfrm>
          <a:off x="1123950" y="29537025"/>
          <a:ext cx="9904762" cy="3457143"/>
        </a:xfrm>
        <a:prstGeom prst="rect">
          <a:avLst/>
        </a:prstGeom>
        <a:ln>
          <a:noFill/>
          <a:prstDash val="solid"/>
        </a:ln>
      </xdr:spPr>
    </xdr:pic>
    <xdr:clientData/>
  </xdr:twoCellAnchor>
  <xdr:twoCellAnchor editAs="oneCell">
    <xdr:from>
      <xdr:col>14</xdr:col>
      <xdr:colOff>66675</xdr:colOff>
      <xdr:row>24</xdr:row>
      <xdr:rowOff>152400</xdr:rowOff>
    </xdr:from>
    <xdr:to>
      <xdr:col>38</xdr:col>
      <xdr:colOff>18484</xdr:colOff>
      <xdr:row>28</xdr:row>
      <xdr:rowOff>180876</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6"/>
        <a:stretch>
          <a:fillRect/>
        </a:stretch>
      </xdr:blipFill>
      <xdr:spPr>
        <a:xfrm>
          <a:off x="2733675" y="4895850"/>
          <a:ext cx="4523809" cy="790476"/>
        </a:xfrm>
        <a:prstGeom prst="rect">
          <a:avLst/>
        </a:prstGeom>
        <a:ln>
          <a:noFill/>
          <a:prstDash val="solid"/>
        </a:ln>
      </xdr:spPr>
    </xdr:pic>
    <xdr:clientData/>
  </xdr:twoCellAnchor>
  <xdr:twoCellAnchor>
    <xdr:from>
      <xdr:col>30</xdr:col>
      <xdr:colOff>19050</xdr:colOff>
      <xdr:row>96</xdr:row>
      <xdr:rowOff>47625</xdr:rowOff>
    </xdr:from>
    <xdr:to>
      <xdr:col>59</xdr:col>
      <xdr:colOff>132645</xdr:colOff>
      <xdr:row>111</xdr:row>
      <xdr:rowOff>9173</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924550" y="17992725"/>
          <a:ext cx="5822245" cy="2730148"/>
          <a:chOff x="5734050" y="18554700"/>
          <a:chExt cx="5638095" cy="2819048"/>
        </a:xfrm>
      </xdr:grpSpPr>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17"/>
          <a:srcRect r="5129" b="21728"/>
          <a:stretch>
            <a:fillRect/>
          </a:stretch>
        </xdr:blipFill>
        <xdr:spPr>
          <a:xfrm>
            <a:off x="10201275" y="20031075"/>
            <a:ext cx="1057275" cy="171450"/>
          </a:xfrm>
          <a:prstGeom prst="rect">
            <a:avLst/>
          </a:prstGeom>
          <a:ln>
            <a:prstDash val="solid"/>
          </a:ln>
        </xdr:spPr>
      </xdr:pic>
    </xdr:grpSp>
    <xdr:clientData/>
  </xdr:twoCellAnchor>
  <xdr:twoCellAnchor>
    <xdr:from>
      <xdr:col>24</xdr:col>
      <xdr:colOff>47625</xdr:colOff>
      <xdr:row>142</xdr:row>
      <xdr:rowOff>66675</xdr:rowOff>
    </xdr:from>
    <xdr:to>
      <xdr:col>58</xdr:col>
      <xdr:colOff>18244</xdr:colOff>
      <xdr:row>148</xdr:row>
      <xdr:rowOff>180818</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4772025" y="26489025"/>
          <a:ext cx="6663519" cy="1219043"/>
          <a:chOff x="4619625" y="27336750"/>
          <a:chExt cx="6447619" cy="1257143"/>
        </a:xfrm>
      </xdr:grpSpPr>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7"/>
          <a:stretch>
            <a:fillRect/>
          </a:stretch>
        </xdr:blipFill>
        <xdr:spPr>
          <a:xfrm>
            <a:off x="9839325" y="27403425"/>
            <a:ext cx="1219048" cy="219048"/>
          </a:xfrm>
          <a:prstGeom prst="rect">
            <a:avLst/>
          </a:prstGeom>
          <a:ln>
            <a:prstDash val="solid"/>
          </a:ln>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mailto:vikas.burman@nagarro.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2:C59"/>
  <sheetViews>
    <sheetView workbookViewId="0">
      <selection activeCell="B51" sqref="B51:C55"/>
    </sheetView>
  </sheetViews>
  <sheetFormatPr defaultRowHeight="14.5" outlineLevelRow="1" x14ac:dyDescent="0.35"/>
  <cols>
    <col min="1" max="1" width="3.81640625" customWidth="1"/>
    <col min="2" max="2" width="14.1796875" customWidth="1"/>
    <col min="3" max="3" width="32.26953125" customWidth="1"/>
  </cols>
  <sheetData>
    <row r="2" spans="2:3" collapsed="1" x14ac:dyDescent="0.35">
      <c r="B2" s="3" t="s">
        <v>498</v>
      </c>
      <c r="C2" s="4"/>
    </row>
    <row r="3" spans="2:3" hidden="1" outlineLevel="1" x14ac:dyDescent="0.35">
      <c r="B3" s="2" t="s">
        <v>59</v>
      </c>
      <c r="C3" s="2"/>
    </row>
    <row r="4" spans="2:3" hidden="1" outlineLevel="1" x14ac:dyDescent="0.35">
      <c r="B4" s="2" t="s">
        <v>89</v>
      </c>
      <c r="C4" s="2"/>
    </row>
    <row r="5" spans="2:3" hidden="1" outlineLevel="1" x14ac:dyDescent="0.35">
      <c r="B5" s="2" t="s">
        <v>499</v>
      </c>
      <c r="C5" s="2"/>
    </row>
    <row r="7" spans="2:3" collapsed="1" x14ac:dyDescent="0.35">
      <c r="B7" s="3" t="s">
        <v>500</v>
      </c>
      <c r="C7" s="4"/>
    </row>
    <row r="8" spans="2:3" hidden="1" outlineLevel="1" x14ac:dyDescent="0.35">
      <c r="B8" s="2" t="s">
        <v>59</v>
      </c>
      <c r="C8" s="2"/>
    </row>
    <row r="9" spans="2:3" hidden="1" outlineLevel="1" x14ac:dyDescent="0.35">
      <c r="B9" s="2" t="s">
        <v>415</v>
      </c>
      <c r="C9" s="2"/>
    </row>
    <row r="10" spans="2:3" hidden="1" outlineLevel="1" x14ac:dyDescent="0.35">
      <c r="B10" s="2" t="s">
        <v>420</v>
      </c>
      <c r="C10" s="2"/>
    </row>
    <row r="11" spans="2:3" hidden="1" outlineLevel="1" x14ac:dyDescent="0.35">
      <c r="B11" s="2" t="s">
        <v>501</v>
      </c>
      <c r="C11" s="2"/>
    </row>
    <row r="12" spans="2:3" hidden="1" outlineLevel="1" x14ac:dyDescent="0.35">
      <c r="B12" s="2" t="s">
        <v>502</v>
      </c>
      <c r="C12" s="2"/>
    </row>
    <row r="13" spans="2:3" hidden="1" outlineLevel="1" x14ac:dyDescent="0.35">
      <c r="B13" s="2" t="s">
        <v>416</v>
      </c>
      <c r="C13" s="2"/>
    </row>
    <row r="14" spans="2:3" hidden="1" outlineLevel="1" x14ac:dyDescent="0.35">
      <c r="B14" s="2" t="s">
        <v>417</v>
      </c>
      <c r="C14" s="2"/>
    </row>
    <row r="15" spans="2:3" hidden="1" outlineLevel="1" x14ac:dyDescent="0.35">
      <c r="B15" s="2" t="s">
        <v>418</v>
      </c>
      <c r="C15" s="2"/>
    </row>
    <row r="16" spans="2:3" hidden="1" outlineLevel="1" x14ac:dyDescent="0.35">
      <c r="B16" s="2" t="s">
        <v>419</v>
      </c>
      <c r="C16" s="2"/>
    </row>
    <row r="18" spans="2:3" collapsed="1" x14ac:dyDescent="0.35">
      <c r="B18" s="3" t="s">
        <v>503</v>
      </c>
      <c r="C18" s="4"/>
    </row>
    <row r="19" spans="2:3" hidden="1" outlineLevel="1" x14ac:dyDescent="0.35">
      <c r="B19" s="2" t="s">
        <v>59</v>
      </c>
      <c r="C19" s="2"/>
    </row>
    <row r="20" spans="2:3" hidden="1" outlineLevel="1" x14ac:dyDescent="0.35">
      <c r="B20" s="2" t="s">
        <v>450</v>
      </c>
      <c r="C20" s="2"/>
    </row>
    <row r="21" spans="2:3" hidden="1" outlineLevel="1" x14ac:dyDescent="0.35">
      <c r="B21" s="2" t="s">
        <v>504</v>
      </c>
      <c r="C21" s="2"/>
    </row>
    <row r="22" spans="2:3" hidden="1" outlineLevel="1" x14ac:dyDescent="0.35">
      <c r="B22" s="2" t="s">
        <v>505</v>
      </c>
      <c r="C22" s="2"/>
    </row>
    <row r="23" spans="2:3" hidden="1" outlineLevel="1" x14ac:dyDescent="0.35">
      <c r="B23" s="2" t="s">
        <v>506</v>
      </c>
      <c r="C23" s="2"/>
    </row>
    <row r="24" spans="2:3" hidden="1" outlineLevel="1" x14ac:dyDescent="0.35">
      <c r="B24" s="2" t="s">
        <v>507</v>
      </c>
      <c r="C24" s="2"/>
    </row>
    <row r="26" spans="2:3" collapsed="1" x14ac:dyDescent="0.35">
      <c r="B26" s="3" t="s">
        <v>508</v>
      </c>
      <c r="C26" s="4"/>
    </row>
    <row r="27" spans="2:3" hidden="1" outlineLevel="1" x14ac:dyDescent="0.35">
      <c r="B27" s="2" t="s">
        <v>59</v>
      </c>
      <c r="C27" s="2"/>
    </row>
    <row r="28" spans="2:3" hidden="1" outlineLevel="1" x14ac:dyDescent="0.35">
      <c r="B28" s="2" t="s">
        <v>452</v>
      </c>
      <c r="C28" s="2"/>
    </row>
    <row r="29" spans="2:3" hidden="1" outlineLevel="1" x14ac:dyDescent="0.35">
      <c r="B29" s="2" t="s">
        <v>509</v>
      </c>
      <c r="C29" s="2"/>
    </row>
    <row r="31" spans="2:3" collapsed="1" x14ac:dyDescent="0.35">
      <c r="B31" s="3" t="s">
        <v>510</v>
      </c>
      <c r="C31" s="3"/>
    </row>
    <row r="32" spans="2:3" hidden="1" outlineLevel="1" x14ac:dyDescent="0.35">
      <c r="B32" s="2" t="s">
        <v>59</v>
      </c>
      <c r="C32" s="2"/>
    </row>
    <row r="33" spans="2:3" hidden="1" outlineLevel="1" x14ac:dyDescent="0.35">
      <c r="B33" s="2" t="s">
        <v>446</v>
      </c>
      <c r="C33" s="2"/>
    </row>
    <row r="34" spans="2:3" hidden="1" outlineLevel="1" x14ac:dyDescent="0.35">
      <c r="B34" s="2" t="s">
        <v>511</v>
      </c>
      <c r="C34" s="2"/>
    </row>
    <row r="35" spans="2:3" hidden="1" outlineLevel="1" x14ac:dyDescent="0.35">
      <c r="B35" s="2" t="s">
        <v>512</v>
      </c>
      <c r="C35" s="2"/>
    </row>
    <row r="37" spans="2:3" collapsed="1" x14ac:dyDescent="0.35">
      <c r="B37" s="3" t="s">
        <v>513</v>
      </c>
      <c r="C37" s="3"/>
    </row>
    <row r="38" spans="2:3" hidden="1" outlineLevel="1" x14ac:dyDescent="0.35">
      <c r="B38" s="2" t="s">
        <v>59</v>
      </c>
      <c r="C38" s="2"/>
    </row>
    <row r="39" spans="2:3" hidden="1" outlineLevel="1" x14ac:dyDescent="0.35">
      <c r="B39" s="2" t="s">
        <v>514</v>
      </c>
      <c r="C39" s="2"/>
    </row>
    <row r="40" spans="2:3" hidden="1" outlineLevel="1" x14ac:dyDescent="0.35">
      <c r="B40" s="2" t="s">
        <v>515</v>
      </c>
      <c r="C40" s="2"/>
    </row>
    <row r="41" spans="2:3" hidden="1" outlineLevel="1" x14ac:dyDescent="0.35">
      <c r="B41" s="2" t="s">
        <v>516</v>
      </c>
      <c r="C41" s="2"/>
    </row>
    <row r="42" spans="2:3" hidden="1" outlineLevel="1" x14ac:dyDescent="0.35">
      <c r="B42" s="2" t="s">
        <v>444</v>
      </c>
      <c r="C42" s="2"/>
    </row>
    <row r="44" spans="2:3" collapsed="1" x14ac:dyDescent="0.35">
      <c r="B44" s="3" t="s">
        <v>517</v>
      </c>
      <c r="C44" s="4"/>
    </row>
    <row r="45" spans="2:3" hidden="1" outlineLevel="1" x14ac:dyDescent="0.35">
      <c r="B45" s="2" t="s">
        <v>59</v>
      </c>
      <c r="C45" s="2"/>
    </row>
    <row r="46" spans="2:3" hidden="1" outlineLevel="1" x14ac:dyDescent="0.35">
      <c r="B46" s="2" t="s">
        <v>60</v>
      </c>
      <c r="C46" s="2"/>
    </row>
    <row r="47" spans="2:3" hidden="1" outlineLevel="1" x14ac:dyDescent="0.35">
      <c r="B47" s="2" t="s">
        <v>66</v>
      </c>
      <c r="C47" s="2"/>
    </row>
    <row r="48" spans="2:3" hidden="1" outlineLevel="1" x14ac:dyDescent="0.35">
      <c r="B48" s="2" t="s">
        <v>251</v>
      </c>
      <c r="C48" s="2"/>
    </row>
    <row r="50" spans="2:3" collapsed="1" x14ac:dyDescent="0.35">
      <c r="B50" s="3" t="s">
        <v>518</v>
      </c>
      <c r="C50" s="3"/>
    </row>
    <row r="51" spans="2:3" hidden="1" outlineLevel="1" x14ac:dyDescent="0.35">
      <c r="B51" s="2" t="s">
        <v>519</v>
      </c>
      <c r="C51" s="151">
        <f>IF(MIN_EFFORT_PERCENT &lt; 0, MIN_EFFORT_PERCENT, MIN_EFFORT_PERCENT*-1)</f>
        <v>-0.2</v>
      </c>
    </row>
    <row r="52" spans="2:3" hidden="1" outlineLevel="1" x14ac:dyDescent="0.35">
      <c r="B52" s="2" t="s">
        <v>520</v>
      </c>
      <c r="C52" s="151">
        <f>CUSTOM_PERCENT*-1</f>
        <v>-0.25</v>
      </c>
    </row>
    <row r="53" spans="2:3" hidden="1" outlineLevel="1" x14ac:dyDescent="0.35">
      <c r="B53" s="2" t="s">
        <v>7</v>
      </c>
      <c r="C53" s="151">
        <v>0</v>
      </c>
    </row>
    <row r="54" spans="2:3" hidden="1" outlineLevel="1" x14ac:dyDescent="0.35">
      <c r="B54" s="2" t="s">
        <v>521</v>
      </c>
      <c r="C54" s="151">
        <f>CUSTOM_PERCENT</f>
        <v>0.25</v>
      </c>
    </row>
    <row r="55" spans="2:3" hidden="1" outlineLevel="1" x14ac:dyDescent="0.35">
      <c r="B55" s="2" t="s">
        <v>522</v>
      </c>
      <c r="C55" s="151">
        <f>MAX_EFFORT_PERCENT</f>
        <v>0.2</v>
      </c>
    </row>
    <row r="57" spans="2:3" collapsed="1" x14ac:dyDescent="0.35">
      <c r="B57" s="3" t="s">
        <v>523</v>
      </c>
      <c r="C57" s="3"/>
    </row>
    <row r="58" spans="2:3" hidden="1" outlineLevel="1" x14ac:dyDescent="0.35">
      <c r="B58" s="2" t="s">
        <v>14</v>
      </c>
      <c r="C58" s="2"/>
    </row>
    <row r="59" spans="2:3" hidden="1" outlineLevel="1" x14ac:dyDescent="0.35">
      <c r="B59" s="2" t="s">
        <v>34</v>
      </c>
      <c r="C59" s="2"/>
    </row>
  </sheetData>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AD600"/>
  <sheetViews>
    <sheetView showGridLines="0" tabSelected="1" zoomScale="62" zoomScaleNormal="62" workbookViewId="0">
      <pane xSplit="11" ySplit="11" topLeftCell="L461" activePane="bottomRight" state="frozenSplit"/>
      <selection pane="topRight" activeCell="M1" sqref="M1"/>
      <selection pane="bottomLeft" activeCell="A17" sqref="A17"/>
      <selection pane="bottomRight" activeCell="P484" sqref="P484"/>
    </sheetView>
  </sheetViews>
  <sheetFormatPr defaultColWidth="9.1796875" defaultRowHeight="14.5" outlineLevelRow="2" outlineLevelCol="1" x14ac:dyDescent="0.35"/>
  <cols>
    <col min="1" max="1" width="1" style="86" customWidth="1"/>
    <col min="2" max="2" width="1" style="9" customWidth="1"/>
    <col min="3" max="5" width="1" style="74" customWidth="1"/>
    <col min="6" max="6" width="3" style="74" customWidth="1"/>
    <col min="7" max="7" width="8.54296875" style="16" customWidth="1" outlineLevel="1"/>
    <col min="8" max="8" width="8.453125" style="16" customWidth="1" outlineLevel="1"/>
    <col min="9" max="9" width="7.1796875" style="16" customWidth="1" outlineLevel="1"/>
    <col min="10" max="10" width="7.7265625" style="16" customWidth="1" outlineLevel="1"/>
    <col min="11" max="11" width="37.453125" style="16" customWidth="1" outlineLevel="1"/>
    <col min="12" max="12" width="3.81640625" style="16" customWidth="1"/>
    <col min="13" max="13" width="5.7265625" style="269" customWidth="1"/>
    <col min="14" max="14" width="42.7265625" style="24" customWidth="1"/>
    <col min="15" max="15" width="13.1796875" style="24" customWidth="1"/>
    <col min="16" max="16" width="17.1796875" style="16" customWidth="1"/>
    <col min="17" max="17" width="7" style="16" customWidth="1"/>
    <col min="18" max="18" width="6.453125" style="16" customWidth="1"/>
    <col min="19" max="19" width="12" style="16" customWidth="1"/>
    <col min="20" max="20" width="10.7265625" style="16" customWidth="1"/>
    <col min="21" max="21" width="6.81640625" style="16" customWidth="1" outlineLevel="1"/>
    <col min="22" max="22" width="6.1796875" style="16" customWidth="1" outlineLevel="1"/>
    <col min="23" max="23" width="6" style="16" customWidth="1" outlineLevel="1"/>
    <col min="24" max="24" width="11.7265625" style="16" customWidth="1" outlineLevel="1"/>
    <col min="25" max="25" width="11" style="16" customWidth="1" outlineLevel="1"/>
    <col min="26" max="26" width="6.54296875" style="16" customWidth="1" outlineLevel="1"/>
    <col min="27" max="27" width="11" style="16" customWidth="1" outlineLevel="1"/>
    <col min="28" max="28" width="35.7265625" style="24" customWidth="1"/>
    <col min="29" max="29" width="1.453125" style="10" customWidth="1"/>
    <col min="30" max="30" width="19" style="10" customWidth="1"/>
    <col min="31" max="31" width="9.1796875" style="16" customWidth="1"/>
    <col min="32" max="16384" width="9.1796875" style="16"/>
  </cols>
  <sheetData>
    <row r="1" spans="1:30" s="9" customFormat="1" ht="4.5" customHeight="1" x14ac:dyDescent="0.35">
      <c r="A1" s="86"/>
      <c r="C1" s="72"/>
      <c r="D1" s="72"/>
      <c r="E1" s="72"/>
      <c r="F1" s="72"/>
      <c r="M1" s="252"/>
      <c r="N1" s="10"/>
      <c r="O1" s="10"/>
      <c r="AB1" s="10"/>
      <c r="AC1" s="10"/>
      <c r="AD1" s="10"/>
    </row>
    <row r="2" spans="1:30" s="9" customFormat="1" ht="4.5" customHeight="1" x14ac:dyDescent="0.35">
      <c r="A2" s="86"/>
      <c r="C2" s="320" t="s">
        <v>0</v>
      </c>
      <c r="D2" s="294"/>
      <c r="E2" s="294"/>
      <c r="F2" s="294"/>
      <c r="G2" s="137"/>
      <c r="H2" s="137"/>
      <c r="I2" s="137"/>
      <c r="J2" s="137"/>
      <c r="K2" s="137"/>
      <c r="L2" s="137"/>
      <c r="M2" s="253"/>
      <c r="N2" s="138"/>
      <c r="O2" s="137"/>
      <c r="P2" s="137"/>
      <c r="Q2" s="137"/>
      <c r="R2" s="137"/>
      <c r="S2" s="137"/>
      <c r="T2" s="137"/>
      <c r="U2" s="137"/>
      <c r="V2" s="137"/>
      <c r="W2" s="137"/>
      <c r="X2" s="137"/>
      <c r="Y2" s="137"/>
      <c r="Z2" s="137"/>
      <c r="AA2" s="137"/>
      <c r="AB2" s="137"/>
      <c r="AC2" s="137"/>
      <c r="AD2" s="10"/>
    </row>
    <row r="3" spans="1:30" s="9" customFormat="1" ht="23.25" customHeight="1" x14ac:dyDescent="0.6">
      <c r="A3" s="86"/>
      <c r="C3" s="294"/>
      <c r="D3" s="294"/>
      <c r="E3" s="294"/>
      <c r="F3" s="294"/>
      <c r="G3" s="329" t="s">
        <v>1</v>
      </c>
      <c r="H3" s="294"/>
      <c r="I3" s="294"/>
      <c r="J3" s="294"/>
      <c r="K3" s="273" t="s">
        <v>2</v>
      </c>
      <c r="L3" s="87"/>
      <c r="M3" s="254">
        <f>IF(IS_KEY_OPP="Yes", 2, IF(IS_KEY_OPP="No", 0, 1))</f>
        <v>2</v>
      </c>
      <c r="N3" s="139" t="str">
        <f>CLIENT_NAME&amp;" - "&amp;PROJECT_NAME&amp;" ("&amp;PLATFORM&amp;" "&amp;PROJECT_TYPE&amp;" Project)"&amp;IF(RFP_NAME&lt;&gt;"", " - "&amp;RFP_NAME, "")</f>
        <v>Ycompany - ClaimMyInsurance (Enterprise Development Project) - ClaimMyInsurance</v>
      </c>
      <c r="O3" s="139"/>
      <c r="P3" s="139"/>
      <c r="Q3" s="139"/>
      <c r="R3" s="139"/>
      <c r="S3" s="179"/>
      <c r="T3" s="241" t="str">
        <f>IF(COUNTIF(AD9:AD362, "Error:*") = 0, "", COUNTIF(AD9:AD362, "Error:*") &amp; " errors")</f>
        <v/>
      </c>
      <c r="U3" s="139"/>
      <c r="V3" s="139"/>
      <c r="W3" s="139"/>
      <c r="X3" s="191" t="s">
        <v>3</v>
      </c>
      <c r="Y3" s="193" t="s">
        <v>4</v>
      </c>
      <c r="Z3" s="195"/>
      <c r="AA3" s="194"/>
      <c r="AB3" s="243"/>
      <c r="AC3" s="87"/>
      <c r="AD3" s="10"/>
    </row>
    <row r="4" spans="1:30" s="9" customFormat="1" ht="4.5" customHeight="1" x14ac:dyDescent="0.35">
      <c r="A4" s="86"/>
      <c r="C4" s="294"/>
      <c r="D4" s="294"/>
      <c r="E4" s="294"/>
      <c r="F4" s="294"/>
      <c r="G4" s="87"/>
      <c r="H4" s="87"/>
      <c r="I4" s="87"/>
      <c r="J4" s="87"/>
      <c r="K4" s="87"/>
      <c r="L4" s="87"/>
      <c r="M4" s="255"/>
      <c r="N4" s="88"/>
      <c r="O4" s="87"/>
      <c r="P4" s="87"/>
      <c r="Q4" s="180"/>
      <c r="R4" s="87"/>
      <c r="S4" s="181"/>
      <c r="T4" s="242"/>
      <c r="U4" s="139"/>
      <c r="V4" s="139"/>
      <c r="W4" s="139"/>
      <c r="X4" s="192"/>
      <c r="Y4" s="193"/>
      <c r="Z4" s="195"/>
      <c r="AA4" s="195"/>
      <c r="AB4" s="87"/>
      <c r="AC4" s="87"/>
      <c r="AD4" s="10"/>
    </row>
    <row r="5" spans="1:30" s="9" customFormat="1" ht="20.25" customHeight="1" x14ac:dyDescent="0.35">
      <c r="A5" s="86"/>
      <c r="C5" s="294"/>
      <c r="D5" s="294"/>
      <c r="E5" s="294"/>
      <c r="F5" s="294"/>
      <c r="G5" s="87"/>
      <c r="H5" s="199"/>
      <c r="I5" s="199" t="s">
        <v>5</v>
      </c>
      <c r="J5" s="323">
        <v>45730</v>
      </c>
      <c r="K5" s="294"/>
      <c r="L5" s="87"/>
      <c r="M5" s="255"/>
      <c r="N5" s="90" t="str">
        <f>IF(TOTAL_EFFORT&lt;=0, "", CHOSEN_CURRENCY&amp;" "&amp;TEXT(CEILING(($W$451/1000),1),"##,##,###")&amp;" K  ●  "&amp;TEXT(TOTAL_EFFORT,"##,##,###")&amp;" PDs ("&amp;TEXT(TOTAL_WEEKS,"##,###"&amp;" Wk)"))</f>
        <v>USD 170 K  ●  757 PDs (150 Wk)</v>
      </c>
      <c r="O5" s="225"/>
      <c r="P5" s="224"/>
      <c r="Q5" s="231"/>
      <c r="R5" s="176" t="s">
        <v>6</v>
      </c>
      <c r="S5" s="177" t="s">
        <v>7</v>
      </c>
      <c r="T5" s="178">
        <v>0.25</v>
      </c>
      <c r="U5" s="139"/>
      <c r="V5" s="139"/>
      <c r="W5" s="139"/>
      <c r="X5" s="191" t="s">
        <v>8</v>
      </c>
      <c r="Y5" s="193" t="s">
        <v>9</v>
      </c>
      <c r="Z5" s="194"/>
      <c r="AA5" s="194"/>
      <c r="AB5" s="330" t="s">
        <v>10</v>
      </c>
      <c r="AC5" s="89"/>
      <c r="AD5" s="10"/>
    </row>
    <row r="6" spans="1:30" s="9" customFormat="1" ht="20.25" customHeight="1" x14ac:dyDescent="0.35">
      <c r="A6" s="86"/>
      <c r="C6" s="294"/>
      <c r="D6" s="294"/>
      <c r="E6" s="294"/>
      <c r="F6" s="294"/>
      <c r="G6" s="87"/>
      <c r="H6" s="199"/>
      <c r="I6" s="199" t="s">
        <v>11</v>
      </c>
      <c r="J6" s="87" t="s">
        <v>12</v>
      </c>
      <c r="K6" s="87"/>
      <c r="L6" s="87"/>
      <c r="M6" s="256"/>
      <c r="N6" s="133" t="str">
        <f>IF(TOTAL_EFFORT&lt;=0, "", "Auto: "&amp;DURATION&amp;" Wk  ("&amp;CEILING(DURATION/4,0.5)&amp;" M)"&amp;", Manual: "&amp;MANUAL_DURATION&amp;" Wk ("&amp;CEILING(MANUAL_DURATION/4,0.5)&amp;" M)")</f>
        <v>Auto: 34.6 Wk  (9 M), Manual: -647.4 Wk (-161.5 M)</v>
      </c>
      <c r="O6" s="226"/>
      <c r="P6" s="224"/>
      <c r="Q6" s="223"/>
      <c r="R6" s="140" t="s">
        <v>13</v>
      </c>
      <c r="S6" s="166" t="s">
        <v>14</v>
      </c>
      <c r="T6" s="167"/>
      <c r="U6" s="139"/>
      <c r="V6" s="139"/>
      <c r="W6" s="139"/>
      <c r="X6" s="191" t="s">
        <v>15</v>
      </c>
      <c r="Y6" s="193" t="s">
        <v>16</v>
      </c>
      <c r="Z6" s="194"/>
      <c r="AA6" s="194"/>
      <c r="AB6" s="294"/>
      <c r="AC6" s="89"/>
      <c r="AD6" s="10"/>
    </row>
    <row r="7" spans="1:30" s="9" customFormat="1" ht="4.5" customHeight="1" x14ac:dyDescent="0.35">
      <c r="A7" s="86"/>
      <c r="C7" s="294"/>
      <c r="D7" s="294"/>
      <c r="E7" s="294"/>
      <c r="F7" s="294"/>
      <c r="G7" s="87"/>
      <c r="H7" s="87"/>
      <c r="I7" s="87"/>
      <c r="J7" s="87"/>
      <c r="K7" s="87"/>
      <c r="L7" s="87"/>
      <c r="M7" s="255"/>
      <c r="N7" s="88"/>
      <c r="O7" s="87"/>
      <c r="P7" s="87"/>
      <c r="Q7" s="87"/>
      <c r="R7" s="87"/>
      <c r="S7" s="87"/>
      <c r="T7" s="87"/>
      <c r="U7" s="87"/>
      <c r="V7" s="87"/>
      <c r="W7" s="87"/>
      <c r="X7" s="87"/>
      <c r="Y7" s="87"/>
      <c r="Z7" s="87"/>
      <c r="AA7" s="87"/>
      <c r="AB7" s="87"/>
      <c r="AC7" s="87"/>
      <c r="AD7" s="10"/>
    </row>
    <row r="8" spans="1:30" s="9" customFormat="1" ht="1.5" customHeight="1" x14ac:dyDescent="0.35">
      <c r="A8" s="86"/>
      <c r="C8" s="294"/>
      <c r="D8" s="294"/>
      <c r="E8" s="294"/>
      <c r="F8" s="294"/>
      <c r="G8" s="11"/>
      <c r="H8" s="11"/>
      <c r="I8" s="11"/>
      <c r="J8" s="11"/>
      <c r="K8" s="11"/>
      <c r="L8" s="11"/>
      <c r="M8" s="257"/>
      <c r="N8" s="11"/>
      <c r="O8" s="11"/>
      <c r="P8" s="11"/>
      <c r="Q8" s="11"/>
      <c r="R8" s="11"/>
      <c r="S8" s="11"/>
      <c r="T8" s="11"/>
      <c r="U8" s="11"/>
      <c r="V8" s="11"/>
      <c r="W8" s="11"/>
      <c r="X8" s="11"/>
      <c r="Y8" s="11"/>
      <c r="Z8" s="11"/>
      <c r="AA8" s="11"/>
      <c r="AB8" s="10"/>
      <c r="AC8" s="10"/>
      <c r="AD8" s="10"/>
    </row>
    <row r="9" spans="1:30" s="9" customFormat="1" ht="15" customHeight="1" x14ac:dyDescent="0.35">
      <c r="A9" s="86"/>
      <c r="C9" s="294"/>
      <c r="D9" s="294"/>
      <c r="E9" s="294"/>
      <c r="F9" s="294"/>
      <c r="G9" s="315" t="s">
        <v>17</v>
      </c>
      <c r="H9" s="299"/>
      <c r="I9" s="299"/>
      <c r="J9" s="299"/>
      <c r="K9" s="154"/>
      <c r="L9" s="144"/>
      <c r="M9" s="258"/>
      <c r="N9" s="40"/>
      <c r="O9" s="40"/>
      <c r="P9" s="40"/>
      <c r="Q9" s="222"/>
      <c r="R9" s="228" t="s">
        <v>18</v>
      </c>
      <c r="S9" s="189" t="s">
        <v>19</v>
      </c>
      <c r="T9" s="189" t="s">
        <v>20</v>
      </c>
      <c r="U9" s="222"/>
      <c r="V9" s="222"/>
      <c r="W9" s="222"/>
      <c r="X9" s="40"/>
      <c r="Y9" s="40"/>
      <c r="Z9" s="40"/>
      <c r="AA9" s="40"/>
      <c r="AB9" s="143" t="s">
        <v>21</v>
      </c>
      <c r="AC9" s="40"/>
      <c r="AD9" s="10"/>
    </row>
    <row r="10" spans="1:30" s="9" customFormat="1" ht="13.5" customHeight="1" x14ac:dyDescent="0.35">
      <c r="A10" s="86" t="s">
        <v>22</v>
      </c>
      <c r="C10" s="301" t="s">
        <v>23</v>
      </c>
      <c r="D10" s="294"/>
      <c r="E10" s="294"/>
      <c r="F10" s="294"/>
      <c r="G10" s="45" t="s">
        <v>24</v>
      </c>
      <c r="H10" s="46" t="s">
        <v>25</v>
      </c>
      <c r="I10" s="45"/>
      <c r="J10" s="169"/>
      <c r="K10" s="47"/>
      <c r="L10" s="128"/>
      <c r="M10" s="259"/>
      <c r="N10" s="37"/>
      <c r="O10" s="174"/>
      <c r="P10" s="298" t="s">
        <v>26</v>
      </c>
      <c r="Q10" s="299"/>
      <c r="R10" s="300"/>
      <c r="S10" s="38"/>
      <c r="T10" s="227"/>
      <c r="U10" s="298" t="s">
        <v>27</v>
      </c>
      <c r="V10" s="299"/>
      <c r="W10" s="300"/>
      <c r="X10" s="229" t="s">
        <v>28</v>
      </c>
      <c r="Y10" s="63"/>
      <c r="Z10" s="39"/>
      <c r="AA10" s="202"/>
      <c r="AB10" s="37"/>
      <c r="AC10" s="37"/>
      <c r="AD10" s="10"/>
    </row>
    <row r="11" spans="1:30" s="9" customFormat="1" ht="15" customHeight="1" x14ac:dyDescent="0.35">
      <c r="A11" s="86" t="s">
        <v>29</v>
      </c>
      <c r="C11" s="301" t="s">
        <v>30</v>
      </c>
      <c r="D11" s="294"/>
      <c r="E11" s="294"/>
      <c r="F11" s="294"/>
      <c r="G11" s="8" t="s">
        <v>31</v>
      </c>
      <c r="H11" s="48" t="s">
        <v>32</v>
      </c>
      <c r="I11" s="8" t="s">
        <v>33</v>
      </c>
      <c r="J11" s="48" t="s">
        <v>34</v>
      </c>
      <c r="K11" s="7" t="s">
        <v>35</v>
      </c>
      <c r="L11" s="71"/>
      <c r="M11" s="260" t="s">
        <v>36</v>
      </c>
      <c r="N11" s="71"/>
      <c r="O11" s="175" t="s">
        <v>37</v>
      </c>
      <c r="P11" s="7" t="s">
        <v>38</v>
      </c>
      <c r="Q11" s="49" t="s">
        <v>39</v>
      </c>
      <c r="R11" s="48" t="s">
        <v>40</v>
      </c>
      <c r="S11" s="325" t="s">
        <v>41</v>
      </c>
      <c r="T11" s="326"/>
      <c r="U11" s="8" t="s">
        <v>42</v>
      </c>
      <c r="V11" s="8" t="s">
        <v>43</v>
      </c>
      <c r="W11" s="8" t="s">
        <v>44</v>
      </c>
      <c r="X11" s="48" t="s">
        <v>26</v>
      </c>
      <c r="Y11" s="7" t="s">
        <v>45</v>
      </c>
      <c r="Z11" s="48" t="s">
        <v>46</v>
      </c>
      <c r="AA11" s="48" t="s">
        <v>47</v>
      </c>
      <c r="AB11" s="173" t="s">
        <v>48</v>
      </c>
      <c r="AC11" s="6"/>
      <c r="AD11" s="10"/>
    </row>
    <row r="12" spans="1:30" s="14" customFormat="1" ht="18.5" customHeight="1" x14ac:dyDescent="0.35">
      <c r="A12" s="86" t="s">
        <v>49</v>
      </c>
      <c r="B12" s="12"/>
      <c r="C12" s="308" t="s">
        <v>50</v>
      </c>
      <c r="D12" s="292"/>
      <c r="E12" s="292"/>
      <c r="F12" s="182" t="s">
        <v>51</v>
      </c>
      <c r="G12" s="52"/>
      <c r="H12" s="52"/>
      <c r="I12" s="52"/>
      <c r="J12" s="52"/>
      <c r="K12" s="52"/>
      <c r="L12" s="52" t="s">
        <v>52</v>
      </c>
      <c r="M12" s="261" t="s">
        <v>53</v>
      </c>
      <c r="N12" s="196"/>
      <c r="O12" s="54"/>
      <c r="P12" s="55"/>
      <c r="Q12" s="55"/>
      <c r="R12" s="55"/>
      <c r="S12" s="305">
        <f>CEILING(SUMIF(J13:J54, "&lt;&gt;Yes", T13:T54),1)</f>
        <v>57</v>
      </c>
      <c r="T12" s="292"/>
      <c r="U12" s="55"/>
      <c r="V12" s="55"/>
      <c r="W12" s="55"/>
      <c r="X12" s="55"/>
      <c r="Y12" s="55"/>
      <c r="Z12" s="55"/>
      <c r="AA12" s="55"/>
      <c r="AB12" s="55"/>
      <c r="AC12" s="55"/>
      <c r="AD12" s="13"/>
    </row>
    <row r="13" spans="1:30" s="9" customFormat="1" ht="3" customHeight="1" outlineLevel="1" x14ac:dyDescent="0.35">
      <c r="A13" s="86" t="s">
        <v>54</v>
      </c>
      <c r="B13" s="15"/>
      <c r="C13" s="183"/>
      <c r="D13" s="183"/>
      <c r="E13" s="183"/>
      <c r="F13" s="183"/>
      <c r="G13" s="25"/>
      <c r="H13" s="25"/>
      <c r="I13" s="25"/>
      <c r="J13" s="25"/>
      <c r="K13" s="25"/>
      <c r="L13" s="26">
        <v>0</v>
      </c>
      <c r="M13" s="262"/>
      <c r="N13" s="25"/>
      <c r="O13" s="25"/>
      <c r="P13" s="25"/>
      <c r="Q13" s="25"/>
      <c r="R13" s="25"/>
      <c r="S13" s="25"/>
      <c r="T13" s="27"/>
      <c r="U13" s="25"/>
      <c r="V13" s="25"/>
      <c r="W13" s="25"/>
      <c r="X13" s="27"/>
      <c r="Y13" s="25"/>
      <c r="Z13" s="25"/>
      <c r="AA13" s="25"/>
      <c r="AB13" s="28"/>
      <c r="AC13" s="28"/>
      <c r="AD13" s="10"/>
    </row>
    <row r="14" spans="1:30" s="14" customFormat="1" ht="15.5" customHeight="1" outlineLevel="1" x14ac:dyDescent="0.35">
      <c r="A14" s="86" t="s">
        <v>55</v>
      </c>
      <c r="B14" s="18"/>
      <c r="C14" s="77"/>
      <c r="D14" s="77"/>
      <c r="E14" s="77"/>
      <c r="F14" s="76"/>
      <c r="G14" s="29"/>
      <c r="H14" s="29"/>
      <c r="I14" s="29"/>
      <c r="J14" s="29"/>
      <c r="K14" s="29"/>
      <c r="L14" s="17">
        <f ca="1">LOOKUP(1000,INDIRECT("L1:"&amp;CELL("address",INDIRECT("R[-1]C",FALSE))))+1</f>
        <v>1</v>
      </c>
      <c r="M14" s="287" t="s">
        <v>56</v>
      </c>
      <c r="N14" s="288"/>
      <c r="O14" s="5"/>
      <c r="P14" s="30"/>
      <c r="Q14" s="30"/>
      <c r="R14" s="30"/>
      <c r="S14" s="30"/>
      <c r="T14" s="155">
        <f>IF($S$6="Exclude", SUMIFS(S15:S19, J15:J19, "&lt;&gt;Yes", G15:G19, "&lt;&gt;Yes"), SUMIFS(S15:S19, J15:J19, "&lt;&gt;Yes"))</f>
        <v>9.75</v>
      </c>
      <c r="U14" s="30"/>
      <c r="V14" s="30"/>
      <c r="W14" s="30"/>
      <c r="X14" s="31"/>
      <c r="Y14" s="32"/>
      <c r="Z14" s="32"/>
      <c r="AA14" s="32"/>
      <c r="AB14" s="219"/>
      <c r="AC14" s="33"/>
      <c r="AD14" s="23" t="str">
        <f>IF(M14="", "Error: Task name cannot be empty.", "")</f>
        <v/>
      </c>
    </row>
    <row r="15" spans="1:30" s="12" customFormat="1" ht="1.5" customHeight="1" outlineLevel="2" x14ac:dyDescent="0.35">
      <c r="A15" s="86" t="s">
        <v>57</v>
      </c>
      <c r="B15" s="18"/>
      <c r="C15" s="77"/>
      <c r="D15" s="77"/>
      <c r="E15" s="77"/>
      <c r="F15" s="76"/>
      <c r="G15" s="29"/>
      <c r="H15" s="29"/>
      <c r="I15" s="29"/>
      <c r="J15" s="29"/>
      <c r="K15" s="29"/>
      <c r="L15" s="163">
        <f ca="1">L14</f>
        <v>1</v>
      </c>
      <c r="M15" s="164" t="s">
        <v>58</v>
      </c>
      <c r="N15" s="161"/>
      <c r="O15" s="162"/>
      <c r="P15" s="30"/>
      <c r="Q15" s="30"/>
      <c r="R15" s="30"/>
      <c r="S15" s="30"/>
      <c r="T15" s="155"/>
      <c r="U15" s="30"/>
      <c r="V15" s="30"/>
      <c r="W15" s="30"/>
      <c r="X15" s="31"/>
      <c r="Y15" s="32"/>
      <c r="Z15" s="32"/>
      <c r="AA15" s="32"/>
      <c r="AB15" s="33"/>
      <c r="AC15" s="33"/>
      <c r="AD15" s="23"/>
    </row>
    <row r="16" spans="1:30" ht="58" customHeight="1" outlineLevel="2" x14ac:dyDescent="0.35">
      <c r="A16" s="86" t="s">
        <v>52</v>
      </c>
      <c r="B16" s="18"/>
      <c r="C16" s="78"/>
      <c r="D16" s="78"/>
      <c r="E16" s="78"/>
      <c r="F16" s="79"/>
      <c r="G16" s="19" t="s">
        <v>59</v>
      </c>
      <c r="H16" s="19" t="s">
        <v>60</v>
      </c>
      <c r="I16" s="20" t="s">
        <v>125</v>
      </c>
      <c r="J16" s="19" t="s">
        <v>59</v>
      </c>
      <c r="K16" s="35" t="s">
        <v>61</v>
      </c>
      <c r="L16" s="19"/>
      <c r="M16" s="263" t="str">
        <f ca="1">IFERROR(OFFSET(M16,-1,,1,1)+0.1,OFFSET(M16,-1,-1,1,1)&amp;".1")</f>
        <v>1.1</v>
      </c>
      <c r="N16" s="20" t="s">
        <v>62</v>
      </c>
      <c r="O16" s="20" t="s">
        <v>63</v>
      </c>
      <c r="P16" s="20"/>
      <c r="Q16" s="134"/>
      <c r="R16" s="127"/>
      <c r="S16" s="157">
        <f>CEILING((IF(J16="Yes", 0, IF(H16="-",AA16,AA16+AA16*VLOOKUP(H16,BUFFERS_BY_TYPE,2,FALSE)))) +
   (IF(J16="Yes", 0, IF(H16="-",AA16,AA16+AA16*VLOOKUP(H16,BUFFERS_BY_TYPE,2,FALSE))))*VLOOKUP($S$5, SALES_CALL_SCALE_ARRAY, 2,FALSE),0.25)</f>
        <v>3.75</v>
      </c>
      <c r="T16" s="158"/>
      <c r="U16" s="21">
        <v>1</v>
      </c>
      <c r="V16" s="21">
        <v>0</v>
      </c>
      <c r="W16" s="21">
        <v>0</v>
      </c>
      <c r="X16" s="156">
        <v>3</v>
      </c>
      <c r="Y16" s="157">
        <f>CEILING((IF(P16=AS_DEV_EFFORT, DEV_EFFORT*Q16%,
                           IF(P16=AS_DURATION_EFFORT, (MANUAL_DURATION*5)*Q16%,
                                    (IF(Q16&lt;=1,X16,
                                          IF(SUM(U16:W16)=0,(Q16*X16),
                                               (((Q16*U16)*(X16+(X16*EXTRA_FOR_H)))+
                                               ((Q16*V16)*X16)+
                                               ((Q16*W16)*(X16-(X16*LESS_FOR_L)))
                                    )*IF(R16=0,1,R16))))))+Z16), 0.25)</f>
        <v>3</v>
      </c>
      <c r="Z16" s="22"/>
      <c r="AA16" s="157">
        <f>Y16+Y16*VLOOKUP(I16,EXTRAS_ARRAY,2,FALSE)</f>
        <v>3.3</v>
      </c>
      <c r="AB16" s="20"/>
      <c r="AC16" s="34"/>
      <c r="AD16" s="23" t="str">
        <f>IF(J16&lt;&gt;"Yes",
IF(S16&lt;=0,"Error: Effort value is not defined or is invalid.",
IF(AND(SUM(U16:W16)&gt;0,SUM(U16:W16)&lt;&gt;1),"Error: Complexity % distribution should sum to 100%.",
IF(AND(P16=AS_DEV_EFFORT,X16&lt;&gt;0),"Error: PDs should not be defined when defining as dev effort %.",
IF(AND(P16=AS_DURATION_EFFORT,X16&lt;&gt;0),"Error: PDs should not be defined when defining as duration effort %.","")))))</f>
        <v/>
      </c>
    </row>
    <row r="17" spans="1:30" ht="43.5" customHeight="1" outlineLevel="2" x14ac:dyDescent="0.35">
      <c r="A17" s="86" t="s">
        <v>52</v>
      </c>
      <c r="B17" s="18"/>
      <c r="C17" s="78"/>
      <c r="D17" s="78"/>
      <c r="E17" s="78"/>
      <c r="F17" s="79"/>
      <c r="G17" s="19" t="s">
        <v>59</v>
      </c>
      <c r="H17" s="19" t="s">
        <v>60</v>
      </c>
      <c r="I17" s="20" t="s">
        <v>125</v>
      </c>
      <c r="J17" s="19" t="s">
        <v>59</v>
      </c>
      <c r="K17" s="35"/>
      <c r="L17" s="19"/>
      <c r="M17" s="263">
        <f ca="1">IFERROR(OFFSET(M17,-1,,1,1)+0.1,OFFSET(M17,-1,-1,1,1)&amp;".1")</f>
        <v>1.2000000000000002</v>
      </c>
      <c r="N17" s="20" t="s">
        <v>64</v>
      </c>
      <c r="O17" s="20" t="s">
        <v>65</v>
      </c>
      <c r="P17" s="20"/>
      <c r="Q17" s="134"/>
      <c r="R17" s="127"/>
      <c r="S17" s="157">
        <f>CEILING((IF(J17="Yes", 0, IF(H17="-",AA17,AA17+AA17*VLOOKUP(H17,BUFFERS_BY_TYPE,2,FALSE)))) +
   (IF(J17="Yes", 0, IF(H17="-",AA17,AA17+AA17*VLOOKUP(H17,BUFFERS_BY_TYPE,2,FALSE))))*VLOOKUP($S$5, SALES_CALL_SCALE_ARRAY, 2,FALSE),0.25)</f>
        <v>2.5</v>
      </c>
      <c r="T17" s="158"/>
      <c r="U17" s="21">
        <v>0</v>
      </c>
      <c r="V17" s="21">
        <v>1</v>
      </c>
      <c r="W17" s="21">
        <v>0</v>
      </c>
      <c r="X17" s="156">
        <v>2</v>
      </c>
      <c r="Y17" s="157">
        <f>CEILING((IF(P17=AS_DEV_EFFORT, DEV_EFFORT*Q17%,
                           IF(P17=AS_DURATION_EFFORT, (MANUAL_DURATION*5)*Q17%,
                                    (IF(Q17&lt;=1,X17,
                                          IF(SUM(U17:W17)=0,(Q17*X17),
                                               (((Q17*U17)*(X17+(X17*EXTRA_FOR_H)))+
                                               ((Q17*V17)*X17)+
                                               ((Q17*W17)*(X17-(X17*LESS_FOR_L)))
                                    )*IF(R17=0,1,R17))))))+Z17), 0.25)</f>
        <v>2</v>
      </c>
      <c r="Z17" s="22"/>
      <c r="AA17" s="157">
        <f>Y17+Y17*VLOOKUP(I17,EXTRAS_ARRAY,2,FALSE)</f>
        <v>2.2000000000000002</v>
      </c>
      <c r="AB17" s="20"/>
      <c r="AC17" s="34"/>
      <c r="AD17" s="23" t="str">
        <f>IF(J17&lt;&gt;"Yes",
IF(S17&lt;=0,"Error: Effort value is not defined or is invalid.",
IF(AND(SUM(U17:W17)&gt;0,SUM(U17:W17)&lt;&gt;1),"Error: Complexity % distribution should sum to 100%.",
IF(AND(P17=AS_DEV_EFFORT,X17&lt;&gt;0),"Error: PDs should not be defined when defining as dev effort %.",
IF(AND(P17=AS_DURATION_EFFORT,X17&lt;&gt;0),"Error: PDs should not be defined when defining as duration effort %.","")))))</f>
        <v/>
      </c>
    </row>
    <row r="18" spans="1:30" ht="130.5" customHeight="1" outlineLevel="2" x14ac:dyDescent="0.35">
      <c r="A18" s="86" t="s">
        <v>52</v>
      </c>
      <c r="B18" s="18"/>
      <c r="C18" s="78"/>
      <c r="D18" s="78"/>
      <c r="E18" s="78"/>
      <c r="F18" s="79"/>
      <c r="G18" s="19" t="s">
        <v>59</v>
      </c>
      <c r="H18" s="19" t="s">
        <v>66</v>
      </c>
      <c r="I18" s="20" t="s">
        <v>59</v>
      </c>
      <c r="J18" s="19" t="s">
        <v>59</v>
      </c>
      <c r="K18" s="35"/>
      <c r="L18" s="19"/>
      <c r="M18" s="263">
        <f ca="1">IFERROR(OFFSET(M18,-1,,1,1)+0.1,OFFSET(M18,-1,-1,1,1)&amp;".1")</f>
        <v>1.3000000000000003</v>
      </c>
      <c r="N18" s="20" t="s">
        <v>67</v>
      </c>
      <c r="O18" s="20" t="s">
        <v>68</v>
      </c>
      <c r="P18" s="20" t="s">
        <v>69</v>
      </c>
      <c r="Q18" s="134">
        <f>Total_Use_Cases</f>
        <v>0</v>
      </c>
      <c r="R18" s="127"/>
      <c r="S18" s="157">
        <f>CEILING((IF(J18="Yes", 0, IF(H18="-",AA18,AA18+AA18*VLOOKUP(H18,BUFFERS_BY_TYPE,2,FALSE)))) +
   (IF(J18="Yes", 0, IF(H18="-",AA18,AA18+AA18*VLOOKUP(H18,BUFFERS_BY_TYPE,2,FALSE))))*VLOOKUP($S$5, SALES_CALL_SCALE_ARRAY, 2,FALSE),0.25)</f>
        <v>3.5</v>
      </c>
      <c r="T18" s="158"/>
      <c r="U18" s="21">
        <v>0</v>
      </c>
      <c r="V18" s="21">
        <v>1</v>
      </c>
      <c r="W18" s="21">
        <v>0</v>
      </c>
      <c r="X18" s="156">
        <v>3</v>
      </c>
      <c r="Y18" s="157">
        <f>CEILING((IF(P18=AS_DEV_EFFORT, DEV_EFFORT*Q18%,
                           IF(P18=AS_DURATION_EFFORT, (MANUAL_DURATION*5)*Q18%,
                                    (IF(Q18&lt;=1,X18,
                                          IF(SUM(U18:W18)=0,(Q18*X18),
                                               (((Q18*U18)*(X18+(X18*EXTRA_FOR_H)))+
                                               ((Q18*V18)*X18)+
                                               ((Q18*W18)*(X18-(X18*LESS_FOR_L)))
                                    )*IF(R18=0,1,R18))))))+Z18), 0.25)</f>
        <v>3</v>
      </c>
      <c r="Z18" s="22"/>
      <c r="AA18" s="157">
        <f>Y18+Y18*VLOOKUP(I18,EXTRAS_ARRAY,2,FALSE)</f>
        <v>3</v>
      </c>
      <c r="AB18" s="20"/>
      <c r="AC18" s="34"/>
      <c r="AD18" s="23" t="str">
        <f>IF(J18&lt;&gt;"Yes",
IF(S18&lt;=0,"Error: Effort value is not defined or is invalid.",
IF(AND(SUM(U18:W18)&gt;0,SUM(U18:W18)&lt;&gt;1),"Error: Complexity % distribution should sum to 100%.",
IF(AND(P18=AS_DEV_EFFORT,X18&lt;&gt;0),"Error: PDs should not be defined when defining as dev effort %.",
IF(AND(P18=AS_DURATION_EFFORT,X18&lt;&gt;0),"Error: PDs should not be defined when defining as duration effort %.","")))))</f>
        <v/>
      </c>
    </row>
    <row r="19" spans="1:30" s="9" customFormat="1" ht="7.5" customHeight="1" outlineLevel="2" x14ac:dyDescent="0.35">
      <c r="A19" s="86" t="s">
        <v>70</v>
      </c>
      <c r="B19" s="15"/>
      <c r="C19" s="72"/>
      <c r="D19" s="72"/>
      <c r="E19" s="72"/>
      <c r="F19" s="72"/>
      <c r="M19" s="252"/>
      <c r="T19" s="15"/>
      <c r="X19" s="15"/>
      <c r="AB19" s="10"/>
      <c r="AC19" s="10"/>
      <c r="AD19" s="10"/>
    </row>
    <row r="20" spans="1:30" s="14" customFormat="1" ht="15.5" customHeight="1" outlineLevel="1" x14ac:dyDescent="0.35">
      <c r="A20" s="86" t="s">
        <v>55</v>
      </c>
      <c r="B20" s="18"/>
      <c r="C20" s="77"/>
      <c r="D20" s="77"/>
      <c r="E20" s="77"/>
      <c r="F20" s="76"/>
      <c r="G20" s="29"/>
      <c r="H20" s="29"/>
      <c r="I20" s="29"/>
      <c r="J20" s="29"/>
      <c r="K20" s="29"/>
      <c r="L20" s="17">
        <f ca="1">LOOKUP(1000,INDIRECT("L1:"&amp;CELL("address",INDIRECT("R[-1]C",FALSE))))+1</f>
        <v>2</v>
      </c>
      <c r="M20" s="287" t="s">
        <v>71</v>
      </c>
      <c r="N20" s="288"/>
      <c r="O20" s="5"/>
      <c r="P20" s="30"/>
      <c r="Q20" s="30"/>
      <c r="R20" s="30"/>
      <c r="S20" s="30"/>
      <c r="T20" s="155">
        <f>IF($S$6="Exclude", SUMIFS(S21:S25, J21:J25, "&lt;&gt;Yes", G21:G25, "&lt;&gt;Yes"), SUMIFS(S21:S25, J21:J25, "&lt;&gt;Yes"))</f>
        <v>11</v>
      </c>
      <c r="U20" s="30"/>
      <c r="V20" s="30"/>
      <c r="W20" s="30"/>
      <c r="X20" s="31"/>
      <c r="Y20" s="32"/>
      <c r="Z20" s="32"/>
      <c r="AA20" s="32"/>
      <c r="AB20" s="219"/>
      <c r="AC20" s="33"/>
      <c r="AD20" s="23" t="str">
        <f>IF(M20="", "Error: Task name cannot be empty.", "")</f>
        <v/>
      </c>
    </row>
    <row r="21" spans="1:30" s="12" customFormat="1" ht="1.5" customHeight="1" outlineLevel="2" x14ac:dyDescent="0.35">
      <c r="A21" s="86" t="s">
        <v>57</v>
      </c>
      <c r="B21" s="18"/>
      <c r="C21" s="77"/>
      <c r="D21" s="77"/>
      <c r="E21" s="77"/>
      <c r="F21" s="76"/>
      <c r="G21" s="29"/>
      <c r="H21" s="29"/>
      <c r="I21" s="29"/>
      <c r="J21" s="29"/>
      <c r="K21" s="29"/>
      <c r="L21" s="163">
        <f ca="1">L20</f>
        <v>2</v>
      </c>
      <c r="M21" s="164" t="s">
        <v>58</v>
      </c>
      <c r="N21" s="161"/>
      <c r="O21" s="162"/>
      <c r="P21" s="30"/>
      <c r="Q21" s="30"/>
      <c r="R21" s="30"/>
      <c r="S21" s="30"/>
      <c r="T21" s="155"/>
      <c r="U21" s="30"/>
      <c r="V21" s="30"/>
      <c r="W21" s="30"/>
      <c r="X21" s="31"/>
      <c r="Y21" s="32"/>
      <c r="Z21" s="32"/>
      <c r="AA21" s="32"/>
      <c r="AB21" s="33"/>
      <c r="AC21" s="33"/>
      <c r="AD21" s="23"/>
    </row>
    <row r="22" spans="1:30" ht="43.5" customHeight="1" outlineLevel="2" x14ac:dyDescent="0.35">
      <c r="A22" s="86" t="s">
        <v>52</v>
      </c>
      <c r="B22" s="18"/>
      <c r="C22" s="78"/>
      <c r="D22" s="78"/>
      <c r="E22" s="78"/>
      <c r="F22" s="79"/>
      <c r="G22" s="19" t="s">
        <v>59</v>
      </c>
      <c r="H22" s="19" t="s">
        <v>60</v>
      </c>
      <c r="I22" s="20" t="s">
        <v>59</v>
      </c>
      <c r="J22" s="19" t="s">
        <v>59</v>
      </c>
      <c r="K22" s="35"/>
      <c r="L22" s="19"/>
      <c r="M22" s="263" t="str">
        <f ca="1">IFERROR(OFFSET(M22,-1,,1,1)+0.1,OFFSET(M22,-1,-1,1,1)&amp;".1")</f>
        <v>2.1</v>
      </c>
      <c r="N22" s="20" t="s">
        <v>72</v>
      </c>
      <c r="O22" s="20" t="s">
        <v>73</v>
      </c>
      <c r="P22" s="20"/>
      <c r="Q22" s="134"/>
      <c r="R22" s="127"/>
      <c r="S22" s="157">
        <f>CEILING((IF(J22="Yes", 0, IF(H22="-",AA22,AA22+AA22*VLOOKUP(H22,BUFFERS_BY_TYPE,2,FALSE)))) +
   (IF(J22="Yes", 0, IF(H22="-",AA22,AA22+AA22*VLOOKUP(H22,BUFFERS_BY_TYPE,2,FALSE))))*VLOOKUP($S$5, SALES_CALL_SCALE_ARRAY, 2,FALSE),0.25)</f>
        <v>2.25</v>
      </c>
      <c r="T22" s="158"/>
      <c r="U22" s="21">
        <v>0</v>
      </c>
      <c r="V22" s="21">
        <v>1</v>
      </c>
      <c r="W22" s="21">
        <v>0</v>
      </c>
      <c r="X22" s="156">
        <v>2</v>
      </c>
      <c r="Y22" s="157">
        <f>CEILING((IF(P22=AS_DEV_EFFORT, DEV_EFFORT*Q22%,
                           IF(P22=AS_DURATION_EFFORT, (MANUAL_DURATION*5)*Q22%,
                                    (IF(Q22&lt;=1,X22,
                                          IF(SUM(U22:W22)=0,(Q22*X22),
                                               (((Q22*U22)*(X22+(X22*EXTRA_FOR_H)))+
                                               ((Q22*V22)*X22)+
                                               ((Q22*W22)*(X22-(X22*LESS_FOR_L)))
                                    )*IF(R22=0,1,R22))))))+Z22), 0.25)</f>
        <v>2</v>
      </c>
      <c r="Z22" s="22"/>
      <c r="AA22" s="157">
        <f>Y22+Y22*VLOOKUP(I22,EXTRAS_ARRAY,2,FALSE)</f>
        <v>2</v>
      </c>
      <c r="AB22" s="20"/>
      <c r="AC22" s="34"/>
      <c r="AD22" s="23" t="str">
        <f>IF(J22&lt;&gt;"Yes",
IF(S22&lt;=0,"Error: Effort value is not defined or is invalid.",
IF(AND(SUM(U22:W22)&gt;0,SUM(U22:W22)&lt;&gt;1),"Error: Complexity % distribution should sum to 100%.",
IF(AND(P22=AS_DEV_EFFORT,X22&lt;&gt;0),"Error: PDs should not be defined when defining as dev effort %.",
IF(AND(P22=AS_DURATION_EFFORT,X22&lt;&gt;0),"Error: PDs should not be defined when defining as duration effort %.","")))))</f>
        <v/>
      </c>
    </row>
    <row r="23" spans="1:30" ht="43.5" customHeight="1" outlineLevel="2" x14ac:dyDescent="0.35">
      <c r="A23" s="86" t="s">
        <v>52</v>
      </c>
      <c r="B23" s="18"/>
      <c r="C23" s="78"/>
      <c r="D23" s="78"/>
      <c r="E23" s="78"/>
      <c r="F23" s="79"/>
      <c r="G23" s="19" t="s">
        <v>59</v>
      </c>
      <c r="H23" s="19" t="s">
        <v>66</v>
      </c>
      <c r="I23" s="20" t="s">
        <v>125</v>
      </c>
      <c r="J23" s="19" t="s">
        <v>59</v>
      </c>
      <c r="K23" s="35"/>
      <c r="L23" s="19"/>
      <c r="M23" s="263">
        <f ca="1">IFERROR(OFFSET(M23,-1,,1,1)+0.1,OFFSET(M23,-1,-1,1,1)&amp;".1")</f>
        <v>2.2000000000000002</v>
      </c>
      <c r="N23" s="20" t="s">
        <v>74</v>
      </c>
      <c r="O23" s="20" t="s">
        <v>75</v>
      </c>
      <c r="P23" s="20"/>
      <c r="Q23" s="134"/>
      <c r="R23" s="127"/>
      <c r="S23" s="157">
        <f>CEILING((IF(J23="Yes", 0, IF(H23="-",AA23,AA23+AA23*VLOOKUP(H23,BUFFERS_BY_TYPE,2,FALSE)))) +
   (IF(J23="Yes", 0, IF(H23="-",AA23,AA23+AA23*VLOOKUP(H23,BUFFERS_BY_TYPE,2,FALSE))))*VLOOKUP($S$5, SALES_CALL_SCALE_ARRAY, 2,FALSE),0.25)</f>
        <v>5.25</v>
      </c>
      <c r="T23" s="158"/>
      <c r="U23" s="21">
        <v>0</v>
      </c>
      <c r="V23" s="21">
        <v>1</v>
      </c>
      <c r="W23" s="21">
        <v>0</v>
      </c>
      <c r="X23" s="156">
        <v>4</v>
      </c>
      <c r="Y23" s="157">
        <f>CEILING((IF(P23=AS_DEV_EFFORT, DEV_EFFORT*Q23%,
                           IF(P23=AS_DURATION_EFFORT, (MANUAL_DURATION*5)*Q23%,
                                    (IF(Q23&lt;=1,X23,
                                          IF(SUM(U23:W23)=0,(Q23*X23),
                                               (((Q23*U23)*(X23+(X23*EXTRA_FOR_H)))+
                                               ((Q23*V23)*X23)+
                                               ((Q23*W23)*(X23-(X23*LESS_FOR_L)))
                                    )*IF(R23=0,1,R23))))))+Z23), 0.25)</f>
        <v>4</v>
      </c>
      <c r="Z23" s="22"/>
      <c r="AA23" s="157">
        <f>Y23+Y23*VLOOKUP(I23,EXTRAS_ARRAY,2,FALSE)</f>
        <v>4.4000000000000004</v>
      </c>
      <c r="AB23" s="20"/>
      <c r="AC23" s="34"/>
      <c r="AD23" s="23" t="str">
        <f>IF(J23&lt;&gt;"Yes",
IF(S23&lt;=0,"Error: Effort value is not defined or is invalid.",
IF(AND(SUM(U23:W23)&gt;0,SUM(U23:W23)&lt;&gt;1),"Error: Complexity % distribution should sum to 100%.",
IF(AND(P23=AS_DEV_EFFORT,X23&lt;&gt;0),"Error: PDs should not be defined when defining as dev effort %.",
IF(AND(P23=AS_DURATION_EFFORT,X23&lt;&gt;0),"Error: PDs should not be defined when defining as duration effort %.","")))))</f>
        <v/>
      </c>
    </row>
    <row r="24" spans="1:30" ht="43.5" customHeight="1" outlineLevel="2" x14ac:dyDescent="0.35">
      <c r="A24" s="86" t="s">
        <v>52</v>
      </c>
      <c r="B24" s="18"/>
      <c r="C24" s="78"/>
      <c r="D24" s="78"/>
      <c r="E24" s="78"/>
      <c r="F24" s="79"/>
      <c r="G24" s="19" t="s">
        <v>59</v>
      </c>
      <c r="H24" s="19" t="s">
        <v>60</v>
      </c>
      <c r="I24" s="20" t="s">
        <v>59</v>
      </c>
      <c r="J24" s="19" t="s">
        <v>59</v>
      </c>
      <c r="K24" s="35" t="s">
        <v>76</v>
      </c>
      <c r="L24" s="19"/>
      <c r="M24" s="263">
        <f ca="1">IFERROR(OFFSET(M24,-1,,1,1)+0.1,OFFSET(M24,-1,-1,1,1)&amp;".1")</f>
        <v>2.3000000000000003</v>
      </c>
      <c r="N24" s="20" t="s">
        <v>77</v>
      </c>
      <c r="O24" s="20" t="s">
        <v>78</v>
      </c>
      <c r="P24" s="20"/>
      <c r="Q24" s="134"/>
      <c r="R24" s="127"/>
      <c r="S24" s="157">
        <f>CEILING((IF(J24="Yes", 0, IF(H24="-",AA24,AA24+AA24*VLOOKUP(H24,BUFFERS_BY_TYPE,2,FALSE)))) +
   (IF(J24="Yes", 0, IF(H24="-",AA24,AA24+AA24*VLOOKUP(H24,BUFFERS_BY_TYPE,2,FALSE))))*VLOOKUP($S$5, SALES_CALL_SCALE_ARRAY, 2,FALSE),0.25)</f>
        <v>3.5</v>
      </c>
      <c r="T24" s="158"/>
      <c r="U24" s="21">
        <v>0</v>
      </c>
      <c r="V24" s="21">
        <v>1</v>
      </c>
      <c r="W24" s="21">
        <v>0</v>
      </c>
      <c r="X24" s="156">
        <v>3</v>
      </c>
      <c r="Y24" s="157">
        <f>CEILING((IF(P24=AS_DEV_EFFORT, DEV_EFFORT*Q24%,
                           IF(P24=AS_DURATION_EFFORT, (MANUAL_DURATION*5)*Q24%,
                                    (IF(Q24&lt;=1,X24,
                                          IF(SUM(U24:W24)=0,(Q24*X24),
                                               (((Q24*U24)*(X24+(X24*EXTRA_FOR_H)))+
                                               ((Q24*V24)*X24)+
                                               ((Q24*W24)*(X24-(X24*LESS_FOR_L)))
                                    )*IF(R24=0,1,R24))))))+Z24), 0.25)</f>
        <v>3</v>
      </c>
      <c r="Z24" s="22"/>
      <c r="AA24" s="157">
        <f>Y24+Y24*VLOOKUP(I24,EXTRAS_ARRAY,2,FALSE)</f>
        <v>3</v>
      </c>
      <c r="AB24" s="20"/>
      <c r="AC24" s="34"/>
      <c r="AD24" s="23" t="str">
        <f>IF(J24&lt;&gt;"Yes",
IF(S24&lt;=0,"Error: Effort value is not defined or is invalid.",
IF(AND(SUM(U24:W24)&gt;0,SUM(U24:W24)&lt;&gt;1),"Error: Complexity % distribution should sum to 100%.",
IF(AND(P24=AS_DEV_EFFORT,X24&lt;&gt;0),"Error: PDs should not be defined when defining as dev effort %.",
IF(AND(P24=AS_DURATION_EFFORT,X24&lt;&gt;0),"Error: PDs should not be defined when defining as duration effort %.","")))))</f>
        <v/>
      </c>
    </row>
    <row r="25" spans="1:30" s="9" customFormat="1" ht="7.5" customHeight="1" outlineLevel="2" x14ac:dyDescent="0.35">
      <c r="A25" s="86" t="s">
        <v>70</v>
      </c>
      <c r="B25" s="15"/>
      <c r="C25" s="72"/>
      <c r="D25" s="72"/>
      <c r="E25" s="72"/>
      <c r="F25" s="72"/>
      <c r="M25" s="252"/>
      <c r="T25" s="15"/>
      <c r="X25" s="15"/>
      <c r="AB25" s="10"/>
      <c r="AC25" s="10"/>
      <c r="AD25" s="10"/>
    </row>
    <row r="26" spans="1:30" s="14" customFormat="1" ht="15.5" customHeight="1" outlineLevel="1" x14ac:dyDescent="0.35">
      <c r="A26" s="86" t="s">
        <v>55</v>
      </c>
      <c r="B26" s="18"/>
      <c r="C26" s="77"/>
      <c r="D26" s="77"/>
      <c r="E26" s="77"/>
      <c r="F26" s="76"/>
      <c r="G26" s="29"/>
      <c r="H26" s="29"/>
      <c r="I26" s="29"/>
      <c r="J26" s="29"/>
      <c r="K26" s="29"/>
      <c r="L26" s="17">
        <f ca="1">LOOKUP(1000,INDIRECT("L1:"&amp;CELL("address",INDIRECT("R[-1]C",FALSE))))+1</f>
        <v>3</v>
      </c>
      <c r="M26" s="287" t="s">
        <v>79</v>
      </c>
      <c r="N26" s="288"/>
      <c r="O26" s="5"/>
      <c r="P26" s="30"/>
      <c r="Q26" s="30"/>
      <c r="R26" s="30"/>
      <c r="S26" s="30"/>
      <c r="T26" s="155">
        <f>IF($S$6="Exclude", SUMIFS(S27:S32, J27:J32, "&lt;&gt;Yes", G27:G32, "&lt;&gt;Yes"), SUMIFS(S27:S32, J27:J32, "&lt;&gt;Yes"))</f>
        <v>9.25</v>
      </c>
      <c r="U26" s="30"/>
      <c r="V26" s="30"/>
      <c r="W26" s="30"/>
      <c r="X26" s="31"/>
      <c r="Y26" s="32"/>
      <c r="Z26" s="32"/>
      <c r="AA26" s="32"/>
      <c r="AB26" s="219"/>
      <c r="AC26" s="33"/>
      <c r="AD26" s="23" t="str">
        <f>IF(M26="", "Error: Task name cannot be empty.", "")</f>
        <v/>
      </c>
    </row>
    <row r="27" spans="1:30" s="12" customFormat="1" ht="1.5" customHeight="1" outlineLevel="2" x14ac:dyDescent="0.35">
      <c r="A27" s="86" t="s">
        <v>57</v>
      </c>
      <c r="B27" s="18"/>
      <c r="C27" s="77"/>
      <c r="D27" s="77"/>
      <c r="E27" s="77"/>
      <c r="F27" s="76"/>
      <c r="G27" s="29"/>
      <c r="H27" s="29"/>
      <c r="I27" s="29"/>
      <c r="J27" s="29"/>
      <c r="K27" s="29"/>
      <c r="L27" s="163">
        <f ca="1">L26</f>
        <v>3</v>
      </c>
      <c r="M27" s="164" t="s">
        <v>58</v>
      </c>
      <c r="N27" s="161"/>
      <c r="O27" s="162"/>
      <c r="P27" s="30"/>
      <c r="Q27" s="30"/>
      <c r="R27" s="30"/>
      <c r="S27" s="30"/>
      <c r="T27" s="155"/>
      <c r="U27" s="30"/>
      <c r="V27" s="30"/>
      <c r="W27" s="30"/>
      <c r="X27" s="31"/>
      <c r="Y27" s="32"/>
      <c r="Z27" s="32"/>
      <c r="AA27" s="32"/>
      <c r="AB27" s="33"/>
      <c r="AC27" s="33"/>
      <c r="AD27" s="23"/>
    </row>
    <row r="28" spans="1:30" ht="43.5" customHeight="1" outlineLevel="2" x14ac:dyDescent="0.35">
      <c r="A28" s="86" t="s">
        <v>52</v>
      </c>
      <c r="B28" s="18"/>
      <c r="C28" s="78"/>
      <c r="D28" s="78"/>
      <c r="E28" s="78"/>
      <c r="F28" s="79"/>
      <c r="G28" s="19" t="s">
        <v>59</v>
      </c>
      <c r="H28" s="19" t="s">
        <v>60</v>
      </c>
      <c r="I28" s="20" t="s">
        <v>59</v>
      </c>
      <c r="J28" s="19" t="s">
        <v>59</v>
      </c>
      <c r="K28" s="35"/>
      <c r="L28" s="19"/>
      <c r="M28" s="263" t="str">
        <f ca="1">IFERROR(OFFSET(M28,-1,,1,1)+0.1,OFFSET(M28,-1,-1,1,1)&amp;".1")</f>
        <v>3.1</v>
      </c>
      <c r="N28" s="20" t="s">
        <v>80</v>
      </c>
      <c r="O28" s="20" t="s">
        <v>81</v>
      </c>
      <c r="P28" s="20"/>
      <c r="Q28" s="134"/>
      <c r="R28" s="127"/>
      <c r="S28" s="157">
        <f>CEILING((IF(J28="Yes", 0, IF(H28="-",AA28,AA28+AA28*VLOOKUP(H28,BUFFERS_BY_TYPE,2,FALSE)))) +
   (IF(J28="Yes", 0, IF(H28="-",AA28,AA28+AA28*VLOOKUP(H28,BUFFERS_BY_TYPE,2,FALSE))))*VLOOKUP($S$5, SALES_CALL_SCALE_ARRAY, 2,FALSE),0.25)</f>
        <v>3.5</v>
      </c>
      <c r="T28" s="158"/>
      <c r="U28" s="21">
        <v>0.5</v>
      </c>
      <c r="V28" s="21">
        <v>0</v>
      </c>
      <c r="W28" s="21">
        <v>0.5</v>
      </c>
      <c r="X28" s="156">
        <v>3</v>
      </c>
      <c r="Y28" s="157">
        <f>CEILING((IF(P28=AS_DEV_EFFORT, DEV_EFFORT*Q28%,
                           IF(P28=AS_DURATION_EFFORT, (MANUAL_DURATION*5)*Q28%,
                                    (IF(Q28&lt;=1,X28,
                                          IF(SUM(U28:W28)=0,(Q28*X28),
                                               (((Q28*U28)*(X28+(X28*EXTRA_FOR_H)))+
                                               ((Q28*V28)*X28)+
                                               ((Q28*W28)*(X28-(X28*LESS_FOR_L)))
                                    )*IF(R28=0,1,R28))))))+Z28), 0.25)</f>
        <v>3</v>
      </c>
      <c r="Z28" s="22"/>
      <c r="AA28" s="157">
        <f>Y28+Y28*VLOOKUP(I28,EXTRAS_ARRAY,2,FALSE)</f>
        <v>3</v>
      </c>
      <c r="AB28" s="20"/>
      <c r="AC28" s="34"/>
      <c r="AD28" s="23" t="str">
        <f>IF(J28&lt;&gt;"Yes",
IF(S28&lt;=0,"Error: Effort value is not defined or is invalid.",
IF(AND(SUM(U28:W28)&gt;0,SUM(U28:W28)&lt;&gt;1),"Error: Complexity % distribution should sum to 100%.",
IF(AND(P28=AS_DEV_EFFORT,X28&lt;&gt;0),"Error: PDs should not be defined when defining as dev effort %.",
IF(AND(P28=AS_DURATION_EFFORT,X28&lt;&gt;0),"Error: PDs should not be defined when defining as duration effort %.","")))))</f>
        <v/>
      </c>
    </row>
    <row r="29" spans="1:30" ht="15.5" customHeight="1" outlineLevel="2" x14ac:dyDescent="0.35">
      <c r="A29" s="86" t="s">
        <v>52</v>
      </c>
      <c r="B29" s="18"/>
      <c r="C29" s="78"/>
      <c r="D29" s="78"/>
      <c r="E29" s="78"/>
      <c r="F29" s="79"/>
      <c r="G29" s="19" t="s">
        <v>59</v>
      </c>
      <c r="H29" s="19" t="s">
        <v>60</v>
      </c>
      <c r="I29" s="20" t="s">
        <v>59</v>
      </c>
      <c r="J29" s="19" t="s">
        <v>59</v>
      </c>
      <c r="K29" s="35"/>
      <c r="L29" s="19"/>
      <c r="M29" s="263">
        <f ca="1">IFERROR(OFFSET(M29,-1,,1,1)+0.1,OFFSET(M29,-1,-1,1,1)&amp;".1")</f>
        <v>3.2</v>
      </c>
      <c r="N29" s="20" t="s">
        <v>82</v>
      </c>
      <c r="O29" s="20" t="s">
        <v>83</v>
      </c>
      <c r="P29" s="20"/>
      <c r="Q29" s="134"/>
      <c r="R29" s="127"/>
      <c r="S29" s="157">
        <f>CEILING((IF(J29="Yes", 0, IF(H29="-",AA29,AA29+AA29*VLOOKUP(H29,BUFFERS_BY_TYPE,2,FALSE)))) +
   (IF(J29="Yes", 0, IF(H29="-",AA29,AA29+AA29*VLOOKUP(H29,BUFFERS_BY_TYPE,2,FALSE))))*VLOOKUP($S$5, SALES_CALL_SCALE_ARRAY, 2,FALSE),0.25)</f>
        <v>2.25</v>
      </c>
      <c r="T29" s="158"/>
      <c r="U29" s="21">
        <v>0</v>
      </c>
      <c r="V29" s="21">
        <v>1</v>
      </c>
      <c r="W29" s="21">
        <v>0</v>
      </c>
      <c r="X29" s="156">
        <v>2</v>
      </c>
      <c r="Y29" s="157">
        <f>CEILING((IF(P29=AS_DEV_EFFORT, DEV_EFFORT*Q29%,
                           IF(P29=AS_DURATION_EFFORT, (MANUAL_DURATION*5)*Q29%,
                                    (IF(Q29&lt;=1,X29,
                                          IF(SUM(U29:W29)=0,(Q29*X29),
                                               (((Q29*U29)*(X29+(X29*EXTRA_FOR_H)))+
                                               ((Q29*V29)*X29)+
                                               ((Q29*W29)*(X29-(X29*LESS_FOR_L)))
                                    )*IF(R29=0,1,R29))))))+Z29), 0.25)</f>
        <v>2</v>
      </c>
      <c r="Z29" s="22"/>
      <c r="AA29" s="157">
        <f>Y29+Y29*VLOOKUP(I29,EXTRAS_ARRAY,2,FALSE)</f>
        <v>2</v>
      </c>
      <c r="AB29" s="20"/>
      <c r="AC29" s="34"/>
      <c r="AD29" s="23" t="str">
        <f>IF(J29&lt;&gt;"Yes",
IF(S29&lt;=0,"Error: Effort value is not defined or is invalid.",
IF(AND(SUM(U29:W29)&gt;0,SUM(U29:W29)&lt;&gt;1),"Error: Complexity % distribution should sum to 100%.",
IF(AND(P29=AS_DEV_EFFORT,X29&lt;&gt;0),"Error: PDs should not be defined when defining as dev effort %.",
IF(AND(P29=AS_DURATION_EFFORT,X29&lt;&gt;0),"Error: PDs should not be defined when defining as duration effort %.","")))))</f>
        <v/>
      </c>
    </row>
    <row r="30" spans="1:30" ht="15.5" customHeight="1" outlineLevel="2" x14ac:dyDescent="0.35">
      <c r="A30" s="86" t="s">
        <v>52</v>
      </c>
      <c r="B30" s="18"/>
      <c r="C30" s="78"/>
      <c r="D30" s="78"/>
      <c r="E30" s="78"/>
      <c r="F30" s="79"/>
      <c r="G30" s="19" t="s">
        <v>59</v>
      </c>
      <c r="H30" s="19" t="s">
        <v>60</v>
      </c>
      <c r="I30" s="20" t="s">
        <v>59</v>
      </c>
      <c r="J30" s="19" t="s">
        <v>59</v>
      </c>
      <c r="K30" s="35"/>
      <c r="L30" s="19"/>
      <c r="M30" s="263">
        <f ca="1">IFERROR(OFFSET(M30,-1,,1,1)+0.1,OFFSET(M30,-1,-1,1,1)&amp;".1")</f>
        <v>3.3000000000000003</v>
      </c>
      <c r="N30" s="20" t="s">
        <v>84</v>
      </c>
      <c r="O30" s="20" t="s">
        <v>85</v>
      </c>
      <c r="P30" s="20"/>
      <c r="Q30" s="134"/>
      <c r="R30" s="127"/>
      <c r="S30" s="157">
        <f>CEILING((IF(J30="Yes", 0, IF(H30="-",AA30,AA30+AA30*VLOOKUP(H30,BUFFERS_BY_TYPE,2,FALSE)))) +
   (IF(J30="Yes", 0, IF(H30="-",AA30,AA30+AA30*VLOOKUP(H30,BUFFERS_BY_TYPE,2,FALSE))))*VLOOKUP($S$5, SALES_CALL_SCALE_ARRAY, 2,FALSE),0.25)</f>
        <v>2.25</v>
      </c>
      <c r="T30" s="158"/>
      <c r="U30" s="21">
        <v>0</v>
      </c>
      <c r="V30" s="21">
        <v>1</v>
      </c>
      <c r="W30" s="21">
        <v>0</v>
      </c>
      <c r="X30" s="156">
        <v>2</v>
      </c>
      <c r="Y30" s="157">
        <f>CEILING((IF(P30=AS_DEV_EFFORT, DEV_EFFORT*Q30%,
                           IF(P30=AS_DURATION_EFFORT, (MANUAL_DURATION*5)*Q30%,
                                    (IF(Q30&lt;=1,X30,
                                          IF(SUM(U30:W30)=0,(Q30*X30),
                                               (((Q30*U30)*(X30+(X30*EXTRA_FOR_H)))+
                                               ((Q30*V30)*X30)+
                                               ((Q30*W30)*(X30-(X30*LESS_FOR_L)))
                                    )*IF(R30=0,1,R30))))))+Z30), 0.25)</f>
        <v>2</v>
      </c>
      <c r="Z30" s="22"/>
      <c r="AA30" s="157">
        <f>Y30+Y30*VLOOKUP(I30,EXTRAS_ARRAY,2,FALSE)</f>
        <v>2</v>
      </c>
      <c r="AB30" s="20"/>
      <c r="AC30" s="34"/>
      <c r="AD30" s="23" t="str">
        <f>IF(J30&lt;&gt;"Yes",
IF(S30&lt;=0,"Error: Effort value is not defined or is invalid.",
IF(AND(SUM(U30:W30)&gt;0,SUM(U30:W30)&lt;&gt;1),"Error: Complexity % distribution should sum to 100%.",
IF(AND(P30=AS_DEV_EFFORT,X30&lt;&gt;0),"Error: PDs should not be defined when defining as dev effort %.",
IF(AND(P30=AS_DURATION_EFFORT,X30&lt;&gt;0),"Error: PDs should not be defined when defining as duration effort %.","")))))</f>
        <v/>
      </c>
    </row>
    <row r="31" spans="1:30" ht="43.5" customHeight="1" outlineLevel="2" x14ac:dyDescent="0.35">
      <c r="A31" s="86" t="s">
        <v>52</v>
      </c>
      <c r="B31" s="18"/>
      <c r="C31" s="78"/>
      <c r="D31" s="78"/>
      <c r="E31" s="78"/>
      <c r="F31" s="79"/>
      <c r="G31" s="19" t="s">
        <v>59</v>
      </c>
      <c r="H31" s="19" t="s">
        <v>60</v>
      </c>
      <c r="I31" s="20" t="s">
        <v>59</v>
      </c>
      <c r="J31" s="19" t="s">
        <v>59</v>
      </c>
      <c r="K31" s="35"/>
      <c r="L31" s="19"/>
      <c r="M31" s="263">
        <f ca="1">IFERROR(OFFSET(M31,-1,,1,1)+0.1,OFFSET(M31,-1,-1,1,1)&amp;".1")</f>
        <v>3.4000000000000004</v>
      </c>
      <c r="N31" s="20" t="s">
        <v>86</v>
      </c>
      <c r="O31" s="20" t="s">
        <v>87</v>
      </c>
      <c r="P31" s="20"/>
      <c r="Q31" s="134"/>
      <c r="R31" s="127"/>
      <c r="S31" s="157">
        <f>CEILING((IF(J31="Yes", 0, IF(H31="-",AA31,AA31+AA31*VLOOKUP(H31,BUFFERS_BY_TYPE,2,FALSE)))) +
   (IF(J31="Yes", 0, IF(H31="-",AA31,AA31+AA31*VLOOKUP(H31,BUFFERS_BY_TYPE,2,FALSE))))*VLOOKUP($S$5, SALES_CALL_SCALE_ARRAY, 2,FALSE),0.25)</f>
        <v>1.25</v>
      </c>
      <c r="T31" s="158"/>
      <c r="U31" s="21">
        <v>0</v>
      </c>
      <c r="V31" s="21">
        <v>1</v>
      </c>
      <c r="W31" s="21">
        <v>0</v>
      </c>
      <c r="X31" s="156">
        <v>1</v>
      </c>
      <c r="Y31" s="157">
        <f>CEILING((IF(P31=AS_DEV_EFFORT, DEV_EFFORT*Q31%,
                           IF(P31=AS_DURATION_EFFORT, (MANUAL_DURATION*5)*Q31%,
                                    (IF(Q31&lt;=1,X31,
                                          IF(SUM(U31:W31)=0,(Q31*X31),
                                               (((Q31*U31)*(X31+(X31*EXTRA_FOR_H)))+
                                               ((Q31*V31)*X31)+
                                               ((Q31*W31)*(X31-(X31*LESS_FOR_L)))
                                    )*IF(R31=0,1,R31))))))+Z31), 0.25)</f>
        <v>1</v>
      </c>
      <c r="Z31" s="22"/>
      <c r="AA31" s="157">
        <f>Y31+Y31*VLOOKUP(I31,EXTRAS_ARRAY,2,FALSE)</f>
        <v>1</v>
      </c>
      <c r="AB31" s="20"/>
      <c r="AC31" s="34"/>
      <c r="AD31" s="23" t="str">
        <f>IF(J31&lt;&gt;"Yes",
IF(S31&lt;=0,"Error: Effort value is not defined or is invalid.",
IF(AND(SUM(U31:W31)&gt;0,SUM(U31:W31)&lt;&gt;1),"Error: Complexity % distribution should sum to 100%.",
IF(AND(P31=AS_DEV_EFFORT,X31&lt;&gt;0),"Error: PDs should not be defined when defining as dev effort %.",
IF(AND(P31=AS_DURATION_EFFORT,X31&lt;&gt;0),"Error: PDs should not be defined when defining as duration effort %.","")))))</f>
        <v/>
      </c>
    </row>
    <row r="32" spans="1:30" s="9" customFormat="1" ht="7.5" customHeight="1" outlineLevel="2" x14ac:dyDescent="0.35">
      <c r="A32" s="86" t="s">
        <v>70</v>
      </c>
      <c r="B32" s="15"/>
      <c r="C32" s="72"/>
      <c r="D32" s="72"/>
      <c r="E32" s="72"/>
      <c r="F32" s="72"/>
      <c r="M32" s="252"/>
      <c r="T32" s="15"/>
      <c r="X32" s="15"/>
      <c r="AB32" s="10"/>
      <c r="AC32" s="10"/>
      <c r="AD32" s="10"/>
    </row>
    <row r="33" spans="1:30" s="14" customFormat="1" ht="15.5" customHeight="1" outlineLevel="1" x14ac:dyDescent="0.35">
      <c r="A33" s="86" t="s">
        <v>55</v>
      </c>
      <c r="B33" s="18"/>
      <c r="C33" s="77"/>
      <c r="D33" s="77"/>
      <c r="E33" s="77"/>
      <c r="F33" s="76"/>
      <c r="G33" s="29"/>
      <c r="H33" s="29"/>
      <c r="I33" s="29"/>
      <c r="J33" s="29"/>
      <c r="K33" s="29"/>
      <c r="L33" s="17">
        <f ca="1">LOOKUP(1000,INDIRECT("L1:"&amp;CELL("address",INDIRECT("R[-1]C",FALSE))))+1</f>
        <v>4</v>
      </c>
      <c r="M33" s="287" t="s">
        <v>88</v>
      </c>
      <c r="N33" s="288"/>
      <c r="O33" s="5"/>
      <c r="P33" s="30"/>
      <c r="Q33" s="30"/>
      <c r="R33" s="30"/>
      <c r="S33" s="30"/>
      <c r="T33" s="155">
        <f>IF($S$6="Exclude", SUMIFS(S34:S40, J34:J40, "&lt;&gt;Yes", G34:G40, "&lt;&gt;Yes"), SUMIFS(S34:S40, J34:J40, "&lt;&gt;Yes"))</f>
        <v>8</v>
      </c>
      <c r="U33" s="30"/>
      <c r="V33" s="30"/>
      <c r="W33" s="30"/>
      <c r="X33" s="31"/>
      <c r="Y33" s="32"/>
      <c r="Z33" s="32"/>
      <c r="AA33" s="32"/>
      <c r="AB33" s="219"/>
      <c r="AC33" s="33"/>
      <c r="AD33" s="23" t="str">
        <f>IF(M33="", "Error: Task name cannot be empty.", "")</f>
        <v/>
      </c>
    </row>
    <row r="34" spans="1:30" s="12" customFormat="1" ht="1.5" customHeight="1" outlineLevel="2" x14ac:dyDescent="0.35">
      <c r="A34" s="86" t="s">
        <v>57</v>
      </c>
      <c r="B34" s="18"/>
      <c r="C34" s="77"/>
      <c r="D34" s="77"/>
      <c r="E34" s="77"/>
      <c r="F34" s="76"/>
      <c r="G34" s="29"/>
      <c r="H34" s="29"/>
      <c r="I34" s="29"/>
      <c r="J34" s="29"/>
      <c r="K34" s="29"/>
      <c r="L34" s="163">
        <f ca="1">L33</f>
        <v>4</v>
      </c>
      <c r="M34" s="164" t="s">
        <v>58</v>
      </c>
      <c r="N34" s="161"/>
      <c r="O34" s="162"/>
      <c r="P34" s="30"/>
      <c r="Q34" s="30"/>
      <c r="R34" s="30"/>
      <c r="S34" s="30"/>
      <c r="T34" s="155"/>
      <c r="U34" s="30"/>
      <c r="V34" s="30"/>
      <c r="W34" s="30"/>
      <c r="X34" s="31"/>
      <c r="Y34" s="32"/>
      <c r="Z34" s="32"/>
      <c r="AA34" s="32"/>
      <c r="AB34" s="33"/>
      <c r="AC34" s="33"/>
      <c r="AD34" s="23"/>
    </row>
    <row r="35" spans="1:30" ht="43.5" customHeight="1" outlineLevel="2" x14ac:dyDescent="0.35">
      <c r="A35" s="86" t="s">
        <v>52</v>
      </c>
      <c r="B35" s="18"/>
      <c r="C35" s="78"/>
      <c r="D35" s="78"/>
      <c r="E35" s="78"/>
      <c r="F35" s="79"/>
      <c r="G35" s="19" t="s">
        <v>89</v>
      </c>
      <c r="H35" s="19" t="s">
        <v>59</v>
      </c>
      <c r="I35" s="20" t="s">
        <v>59</v>
      </c>
      <c r="J35" s="19" t="s">
        <v>59</v>
      </c>
      <c r="K35" s="35" t="s">
        <v>90</v>
      </c>
      <c r="L35" s="19"/>
      <c r="M35" s="263" t="str">
        <f ca="1">IFERROR(OFFSET(M35,-1,,1,1)+0.1,OFFSET(M35,-1,-1,1,1)&amp;".1")</f>
        <v>4.1</v>
      </c>
      <c r="N35" s="20" t="s">
        <v>91</v>
      </c>
      <c r="O35" s="20" t="s">
        <v>92</v>
      </c>
      <c r="P35" s="20"/>
      <c r="Q35" s="134"/>
      <c r="R35" s="127"/>
      <c r="S35" s="157">
        <f>CEILING((IF(J35="Yes", 0, IF(H35="-",AA35,AA35+AA35*VLOOKUP(H35,BUFFERS_BY_TYPE,2,FALSE)))) +
   (IF(J35="Yes", 0, IF(H35="-",AA35,AA35+AA35*VLOOKUP(H35,BUFFERS_BY_TYPE,2,FALSE))))*VLOOKUP($S$5, SALES_CALL_SCALE_ARRAY, 2,FALSE),0.25)</f>
        <v>1</v>
      </c>
      <c r="T35" s="158"/>
      <c r="U35" s="21">
        <v>0</v>
      </c>
      <c r="V35" s="21">
        <v>1</v>
      </c>
      <c r="W35" s="21">
        <v>0</v>
      </c>
      <c r="X35" s="156">
        <v>1</v>
      </c>
      <c r="Y35" s="157">
        <f>CEILING((IF(P35=AS_DEV_EFFORT, DEV_EFFORT*Q35%,
                           IF(P35=AS_DURATION_EFFORT, (MANUAL_DURATION*5)*Q35%,
                                    (IF(Q35&lt;=1,X35,
                                          IF(SUM(U35:W35)=0,(Q35*X35),
                                               (((Q35*U35)*(X35+(X35*EXTRA_FOR_H)))+
                                               ((Q35*V35)*X35)+
                                               ((Q35*W35)*(X35-(X35*LESS_FOR_L)))
                                    )*IF(R35=0,1,R35))))))+Z35), 0.25)</f>
        <v>1</v>
      </c>
      <c r="Z35" s="22"/>
      <c r="AA35" s="157">
        <f>Y35+Y35*VLOOKUP(I35,EXTRAS_ARRAY,2,FALSE)</f>
        <v>1</v>
      </c>
      <c r="AB35" s="20"/>
      <c r="AC35" s="34"/>
      <c r="AD35" s="23" t="str">
        <f>IF(J35&lt;&gt;"Yes",
IF(S35&lt;=0,"Error: Effort value is not defined or is invalid.",
IF(AND(SUM(U35:W35)&gt;0,SUM(U35:W35)&lt;&gt;1),"Error: Complexity % distribution should sum to 100%.",
IF(AND(P35=AS_DEV_EFFORT,X35&lt;&gt;0),"Error: PDs should not be defined when defining as dev effort %.",
IF(AND(P35=AS_DURATION_EFFORT,X35&lt;&gt;0),"Error: PDs should not be defined when defining as duration effort %.","")))))</f>
        <v/>
      </c>
    </row>
    <row r="36" spans="1:30" ht="15.5" customHeight="1" outlineLevel="2" x14ac:dyDescent="0.35">
      <c r="A36" s="86" t="s">
        <v>52</v>
      </c>
      <c r="B36" s="18"/>
      <c r="C36" s="78"/>
      <c r="D36" s="78"/>
      <c r="E36" s="78"/>
      <c r="F36" s="79"/>
      <c r="G36" s="19" t="s">
        <v>89</v>
      </c>
      <c r="H36" s="19" t="s">
        <v>59</v>
      </c>
      <c r="I36" s="20" t="s">
        <v>59</v>
      </c>
      <c r="J36" s="19" t="s">
        <v>59</v>
      </c>
      <c r="K36" s="35"/>
      <c r="L36" s="19"/>
      <c r="M36" s="263">
        <f ca="1">IFERROR(OFFSET(M36,-1,,1,1)+0.1,OFFSET(M36,-1,-1,1,1)&amp;".1")</f>
        <v>4.1999999999999993</v>
      </c>
      <c r="N36" s="20" t="s">
        <v>93</v>
      </c>
      <c r="O36" s="20" t="s">
        <v>94</v>
      </c>
      <c r="P36" s="20"/>
      <c r="Q36" s="134"/>
      <c r="R36" s="127"/>
      <c r="S36" s="157">
        <f>CEILING((IF(J36="Yes", 0, IF(H36="-",AA36,AA36+AA36*VLOOKUP(H36,BUFFERS_BY_TYPE,2,FALSE)))) +
   (IF(J36="Yes", 0, IF(H36="-",AA36,AA36+AA36*VLOOKUP(H36,BUFFERS_BY_TYPE,2,FALSE))))*VLOOKUP($S$5, SALES_CALL_SCALE_ARRAY, 2,FALSE),0.25)</f>
        <v>2</v>
      </c>
      <c r="T36" s="158"/>
      <c r="U36" s="21">
        <v>0</v>
      </c>
      <c r="V36" s="21">
        <v>1</v>
      </c>
      <c r="W36" s="21">
        <v>0</v>
      </c>
      <c r="X36" s="156">
        <v>2</v>
      </c>
      <c r="Y36" s="157">
        <f>CEILING((IF(P36=AS_DEV_EFFORT, DEV_EFFORT*Q36%,
                           IF(P36=AS_DURATION_EFFORT, (MANUAL_DURATION*5)*Q36%,
                                    (IF(Q36&lt;=1,X36,
                                          IF(SUM(U36:W36)=0,(Q36*X36),
                                               (((Q36*U36)*(X36+(X36*EXTRA_FOR_H)))+
                                               ((Q36*V36)*X36)+
                                               ((Q36*W36)*(X36-(X36*LESS_FOR_L)))
                                    )*IF(R36=0,1,R36))))))+Z36), 0.25)</f>
        <v>2</v>
      </c>
      <c r="Z36" s="22"/>
      <c r="AA36" s="157">
        <f>Y36+Y36*VLOOKUP(I36,EXTRAS_ARRAY,2,FALSE)</f>
        <v>2</v>
      </c>
      <c r="AB36" s="20"/>
      <c r="AC36" s="34"/>
      <c r="AD36" s="23" t="str">
        <f>IF(J36&lt;&gt;"Yes",
IF(S36&lt;=0,"Error: Effort value is not defined or is invalid.",
IF(AND(SUM(U36:W36)&gt;0,SUM(U36:W36)&lt;&gt;1),"Error: Complexity % distribution should sum to 100%.",
IF(AND(P36=AS_DEV_EFFORT,X36&lt;&gt;0),"Error: PDs should not be defined when defining as dev effort %.",
IF(AND(P36=AS_DURATION_EFFORT,X36&lt;&gt;0),"Error: PDs should not be defined when defining as duration effort %.","")))))</f>
        <v/>
      </c>
    </row>
    <row r="37" spans="1:30" ht="15.5" customHeight="1" outlineLevel="2" x14ac:dyDescent="0.35">
      <c r="A37" s="86" t="s">
        <v>52</v>
      </c>
      <c r="B37" s="18"/>
      <c r="C37" s="78"/>
      <c r="D37" s="78"/>
      <c r="E37" s="78"/>
      <c r="F37" s="79"/>
      <c r="G37" s="19" t="s">
        <v>89</v>
      </c>
      <c r="H37" s="19" t="s">
        <v>59</v>
      </c>
      <c r="I37" s="20" t="s">
        <v>59</v>
      </c>
      <c r="J37" s="19" t="s">
        <v>59</v>
      </c>
      <c r="K37" s="35"/>
      <c r="L37" s="19"/>
      <c r="M37" s="263">
        <f ca="1">IFERROR(OFFSET(M37,-1,,1,1)+0.1,OFFSET(M37,-1,-1,1,1)&amp;".1")</f>
        <v>4.2999999999999989</v>
      </c>
      <c r="N37" s="20" t="s">
        <v>95</v>
      </c>
      <c r="O37" s="20" t="s">
        <v>96</v>
      </c>
      <c r="P37" s="20"/>
      <c r="Q37" s="134"/>
      <c r="R37" s="127"/>
      <c r="S37" s="157">
        <f>CEILING((IF(J37="Yes", 0, IF(H37="-",AA37,AA37+AA37*VLOOKUP(H37,BUFFERS_BY_TYPE,2,FALSE)))) +
   (IF(J37="Yes", 0, IF(H37="-",AA37,AA37+AA37*VLOOKUP(H37,BUFFERS_BY_TYPE,2,FALSE))))*VLOOKUP($S$5, SALES_CALL_SCALE_ARRAY, 2,FALSE),0.25)</f>
        <v>1</v>
      </c>
      <c r="T37" s="158"/>
      <c r="U37" s="21">
        <v>0</v>
      </c>
      <c r="V37" s="21">
        <v>1</v>
      </c>
      <c r="W37" s="21">
        <v>0</v>
      </c>
      <c r="X37" s="156">
        <v>1</v>
      </c>
      <c r="Y37" s="157">
        <f>CEILING((IF(P37=AS_DEV_EFFORT, DEV_EFFORT*Q37%,
                           IF(P37=AS_DURATION_EFFORT, (MANUAL_DURATION*5)*Q37%,
                                    (IF(Q37&lt;=1,X37,
                                          IF(SUM(U37:W37)=0,(Q37*X37),
                                               (((Q37*U37)*(X37+(X37*EXTRA_FOR_H)))+
                                               ((Q37*V37)*X37)+
                                               ((Q37*W37)*(X37-(X37*LESS_FOR_L)))
                                    )*IF(R37=0,1,R37))))))+Z37), 0.25)</f>
        <v>1</v>
      </c>
      <c r="Z37" s="22"/>
      <c r="AA37" s="157">
        <f>Y37+Y37*VLOOKUP(I37,EXTRAS_ARRAY,2,FALSE)</f>
        <v>1</v>
      </c>
      <c r="AB37" s="20"/>
      <c r="AC37" s="34"/>
      <c r="AD37" s="23" t="str">
        <f>IF(J37&lt;&gt;"Yes",
IF(S37&lt;=0,"Error: Effort value is not defined or is invalid.",
IF(AND(SUM(U37:W37)&gt;0,SUM(U37:W37)&lt;&gt;1),"Error: Complexity % distribution should sum to 100%.",
IF(AND(P37=AS_DEV_EFFORT,X37&lt;&gt;0),"Error: PDs should not be defined when defining as dev effort %.",
IF(AND(P37=AS_DURATION_EFFORT,X37&lt;&gt;0),"Error: PDs should not be defined when defining as duration effort %.","")))))</f>
        <v/>
      </c>
    </row>
    <row r="38" spans="1:30" ht="15.5" customHeight="1" outlineLevel="2" x14ac:dyDescent="0.35">
      <c r="A38" s="86" t="s">
        <v>52</v>
      </c>
      <c r="B38" s="18"/>
      <c r="C38" s="78"/>
      <c r="D38" s="78"/>
      <c r="E38" s="78"/>
      <c r="F38" s="79"/>
      <c r="G38" s="19" t="s">
        <v>89</v>
      </c>
      <c r="H38" s="19" t="s">
        <v>59</v>
      </c>
      <c r="I38" s="20" t="s">
        <v>59</v>
      </c>
      <c r="J38" s="19" t="s">
        <v>59</v>
      </c>
      <c r="K38" s="35"/>
      <c r="L38" s="19"/>
      <c r="M38" s="263">
        <f ca="1">IFERROR(OFFSET(M38,-1,,1,1)+0.1,OFFSET(M38,-1,-1,1,1)&amp;".1")</f>
        <v>4.3999999999999986</v>
      </c>
      <c r="N38" s="20" t="s">
        <v>97</v>
      </c>
      <c r="O38" s="20" t="s">
        <v>98</v>
      </c>
      <c r="P38" s="20"/>
      <c r="Q38" s="134"/>
      <c r="R38" s="127"/>
      <c r="S38" s="157">
        <f>CEILING((IF(J38="Yes", 0, IF(H38="-",AA38,AA38+AA38*VLOOKUP(H38,BUFFERS_BY_TYPE,2,FALSE)))) +
   (IF(J38="Yes", 0, IF(H38="-",AA38,AA38+AA38*VLOOKUP(H38,BUFFERS_BY_TYPE,2,FALSE))))*VLOOKUP($S$5, SALES_CALL_SCALE_ARRAY, 2,FALSE),0.25)</f>
        <v>2</v>
      </c>
      <c r="T38" s="158"/>
      <c r="U38" s="21">
        <v>0</v>
      </c>
      <c r="V38" s="21">
        <v>1</v>
      </c>
      <c r="W38" s="21">
        <v>0</v>
      </c>
      <c r="X38" s="156">
        <v>2</v>
      </c>
      <c r="Y38" s="157">
        <f>CEILING((IF(P38=AS_DEV_EFFORT, DEV_EFFORT*Q38%,
                           IF(P38=AS_DURATION_EFFORT, (MANUAL_DURATION*5)*Q38%,
                                    (IF(Q38&lt;=1,X38,
                                          IF(SUM(U38:W38)=0,(Q38*X38),
                                               (((Q38*U38)*(X38+(X38*EXTRA_FOR_H)))+
                                               ((Q38*V38)*X38)+
                                               ((Q38*W38)*(X38-(X38*LESS_FOR_L)))
                                    )*IF(R38=0,1,R38))))))+Z38), 0.25)</f>
        <v>2</v>
      </c>
      <c r="Z38" s="22"/>
      <c r="AA38" s="157">
        <f>Y38+Y38*VLOOKUP(I38,EXTRAS_ARRAY,2,FALSE)</f>
        <v>2</v>
      </c>
      <c r="AB38" s="20"/>
      <c r="AC38" s="34"/>
      <c r="AD38" s="23" t="str">
        <f>IF(J38&lt;&gt;"Yes",
IF(S38&lt;=0,"Error: Effort value is not defined or is invalid.",
IF(AND(SUM(U38:W38)&gt;0,SUM(U38:W38)&lt;&gt;1),"Error: Complexity % distribution should sum to 100%.",
IF(AND(P38=AS_DEV_EFFORT,X38&lt;&gt;0),"Error: PDs should not be defined when defining as dev effort %.",
IF(AND(P38=AS_DURATION_EFFORT,X38&lt;&gt;0),"Error: PDs should not be defined when defining as duration effort %.","")))))</f>
        <v/>
      </c>
    </row>
    <row r="39" spans="1:30" ht="29" customHeight="1" outlineLevel="2" x14ac:dyDescent="0.35">
      <c r="A39" s="86" t="s">
        <v>52</v>
      </c>
      <c r="B39" s="18"/>
      <c r="C39" s="78"/>
      <c r="D39" s="78"/>
      <c r="E39" s="78"/>
      <c r="F39" s="79"/>
      <c r="G39" s="19" t="s">
        <v>89</v>
      </c>
      <c r="H39" s="19" t="s">
        <v>59</v>
      </c>
      <c r="I39" s="20" t="s">
        <v>59</v>
      </c>
      <c r="J39" s="19" t="s">
        <v>59</v>
      </c>
      <c r="K39" s="35"/>
      <c r="L39" s="19"/>
      <c r="M39" s="263">
        <f ca="1">IFERROR(OFFSET(M39,-1,,1,1)+0.1,OFFSET(M39,-1,-1,1,1)&amp;".1")</f>
        <v>4.4999999999999982</v>
      </c>
      <c r="N39" s="20" t="s">
        <v>99</v>
      </c>
      <c r="O39" s="20" t="s">
        <v>100</v>
      </c>
      <c r="P39" s="20"/>
      <c r="Q39" s="134"/>
      <c r="R39" s="127"/>
      <c r="S39" s="157">
        <f>CEILING((IF(J39="Yes", 0, IF(H39="-",AA39,AA39+AA39*VLOOKUP(H39,BUFFERS_BY_TYPE,2,FALSE)))) +
   (IF(J39="Yes", 0, IF(H39="-",AA39,AA39+AA39*VLOOKUP(H39,BUFFERS_BY_TYPE,2,FALSE))))*VLOOKUP($S$5, SALES_CALL_SCALE_ARRAY, 2,FALSE),0.25)</f>
        <v>2</v>
      </c>
      <c r="T39" s="158"/>
      <c r="U39" s="21">
        <v>0</v>
      </c>
      <c r="V39" s="21">
        <v>1</v>
      </c>
      <c r="W39" s="21">
        <v>0</v>
      </c>
      <c r="X39" s="156">
        <v>2</v>
      </c>
      <c r="Y39" s="157">
        <f>CEILING((IF(P39=AS_DEV_EFFORT, DEV_EFFORT*Q39%,
                           IF(P39=AS_DURATION_EFFORT, (MANUAL_DURATION*5)*Q39%,
                                    (IF(Q39&lt;=1,X39,
                                          IF(SUM(U39:W39)=0,(Q39*X39),
                                               (((Q39*U39)*(X39+(X39*EXTRA_FOR_H)))+
                                               ((Q39*V39)*X39)+
                                               ((Q39*W39)*(X39-(X39*LESS_FOR_L)))
                                    )*IF(R39=0,1,R39))))))+Z39), 0.25)</f>
        <v>2</v>
      </c>
      <c r="Z39" s="22"/>
      <c r="AA39" s="157">
        <f>Y39+Y39*VLOOKUP(I39,EXTRAS_ARRAY,2,FALSE)</f>
        <v>2</v>
      </c>
      <c r="AB39" s="20"/>
      <c r="AC39" s="34"/>
      <c r="AD39" s="23" t="str">
        <f>IF(J39&lt;&gt;"Yes",
IF(S39&lt;=0,"Error: Effort value is not defined or is invalid.",
IF(AND(SUM(U39:W39)&gt;0,SUM(U39:W39)&lt;&gt;1),"Error: Complexity % distribution should sum to 100%.",
IF(AND(P39=AS_DEV_EFFORT,X39&lt;&gt;0),"Error: PDs should not be defined when defining as dev effort %.",
IF(AND(P39=AS_DURATION_EFFORT,X39&lt;&gt;0),"Error: PDs should not be defined when defining as duration effort %.","")))))</f>
        <v/>
      </c>
    </row>
    <row r="40" spans="1:30" s="9" customFormat="1" ht="7.5" customHeight="1" outlineLevel="2" x14ac:dyDescent="0.35">
      <c r="A40" s="86" t="s">
        <v>70</v>
      </c>
      <c r="B40" s="15"/>
      <c r="C40" s="72"/>
      <c r="D40" s="72"/>
      <c r="E40" s="72"/>
      <c r="F40" s="72"/>
      <c r="M40" s="252"/>
      <c r="T40" s="15"/>
      <c r="X40" s="15"/>
      <c r="AB40" s="10"/>
      <c r="AC40" s="10"/>
      <c r="AD40" s="10"/>
    </row>
    <row r="41" spans="1:30" s="14" customFormat="1" ht="15.5" customHeight="1" outlineLevel="1" x14ac:dyDescent="0.35">
      <c r="A41" s="86" t="s">
        <v>55</v>
      </c>
      <c r="B41" s="18"/>
      <c r="C41" s="77"/>
      <c r="D41" s="77"/>
      <c r="E41" s="77"/>
      <c r="F41" s="76"/>
      <c r="G41" s="29"/>
      <c r="H41" s="29"/>
      <c r="I41" s="29"/>
      <c r="J41" s="29"/>
      <c r="K41" s="29"/>
      <c r="L41" s="17">
        <f ca="1">LOOKUP(1000,INDIRECT("L1:"&amp;CELL("address",INDIRECT("R[-1]C",FALSE))))+1</f>
        <v>5</v>
      </c>
      <c r="M41" s="287" t="s">
        <v>101</v>
      </c>
      <c r="N41" s="288"/>
      <c r="O41" s="5"/>
      <c r="P41" s="30"/>
      <c r="Q41" s="30"/>
      <c r="R41" s="30"/>
      <c r="S41" s="30"/>
      <c r="T41" s="155">
        <f>IF($S$6="Exclude", SUMIFS(S42:S46, J42:J46, "&lt;&gt;Yes", G42:G46, "&lt;&gt;Yes"), SUMIFS(S42:S46, J42:J46, "&lt;&gt;Yes"))</f>
        <v>9</v>
      </c>
      <c r="U41" s="30"/>
      <c r="V41" s="30"/>
      <c r="W41" s="30"/>
      <c r="X41" s="31"/>
      <c r="Y41" s="32"/>
      <c r="Z41" s="32"/>
      <c r="AA41" s="32"/>
      <c r="AB41" s="219"/>
      <c r="AC41" s="33"/>
      <c r="AD41" s="23" t="str">
        <f>IF(M41="", "Error: Task name cannot be empty.", "")</f>
        <v/>
      </c>
    </row>
    <row r="42" spans="1:30" s="12" customFormat="1" ht="1.5" customHeight="1" outlineLevel="2" x14ac:dyDescent="0.35">
      <c r="A42" s="86" t="s">
        <v>57</v>
      </c>
      <c r="B42" s="18"/>
      <c r="C42" s="77"/>
      <c r="D42" s="77"/>
      <c r="E42" s="77"/>
      <c r="F42" s="76"/>
      <c r="G42" s="29"/>
      <c r="H42" s="29"/>
      <c r="I42" s="29"/>
      <c r="J42" s="29"/>
      <c r="K42" s="29"/>
      <c r="L42" s="163">
        <f ca="1">L41</f>
        <v>5</v>
      </c>
      <c r="M42" s="164" t="s">
        <v>58</v>
      </c>
      <c r="N42" s="161"/>
      <c r="O42" s="162"/>
      <c r="P42" s="30"/>
      <c r="Q42" s="30"/>
      <c r="R42" s="30"/>
      <c r="S42" s="30"/>
      <c r="T42" s="155"/>
      <c r="U42" s="30"/>
      <c r="V42" s="30"/>
      <c r="W42" s="30"/>
      <c r="X42" s="31"/>
      <c r="Y42" s="32"/>
      <c r="Z42" s="32"/>
      <c r="AA42" s="32"/>
      <c r="AB42" s="33"/>
      <c r="AC42" s="33"/>
      <c r="AD42" s="23"/>
    </row>
    <row r="43" spans="1:30" ht="116" customHeight="1" outlineLevel="2" x14ac:dyDescent="0.35">
      <c r="A43" s="86" t="s">
        <v>52</v>
      </c>
      <c r="B43" s="18"/>
      <c r="C43" s="78"/>
      <c r="D43" s="78"/>
      <c r="E43" s="78"/>
      <c r="F43" s="79"/>
      <c r="G43" s="19" t="s">
        <v>59</v>
      </c>
      <c r="H43" s="19" t="s">
        <v>60</v>
      </c>
      <c r="I43" s="20" t="s">
        <v>59</v>
      </c>
      <c r="J43" s="19" t="s">
        <v>59</v>
      </c>
      <c r="K43" s="35"/>
      <c r="L43" s="19"/>
      <c r="M43" s="263" t="str">
        <f ca="1">IFERROR(OFFSET(M43,-1,,1,1)+0.1,OFFSET(M43,-1,-1,1,1)&amp;".1")</f>
        <v>5.1</v>
      </c>
      <c r="N43" s="20" t="s">
        <v>102</v>
      </c>
      <c r="O43" s="20" t="s">
        <v>103</v>
      </c>
      <c r="P43" s="20">
        <f>Total_FRs * R43</f>
        <v>0</v>
      </c>
      <c r="Q43" s="134">
        <f>Total_FRs</f>
        <v>0</v>
      </c>
      <c r="R43" s="127"/>
      <c r="S43" s="157">
        <f>CEILING((IF(J43="Yes", 0, IF(H43="-",AA43,AA43+AA43*VLOOKUP(H43,BUFFERS_BY_TYPE,2,FALSE)))) +
   (IF(J43="Yes", 0, IF(H43="-",AA43,AA43+AA43*VLOOKUP(H43,BUFFERS_BY_TYPE,2,FALSE))))*VLOOKUP($S$5, SALES_CALL_SCALE_ARRAY, 2,FALSE),0.25)</f>
        <v>5.5</v>
      </c>
      <c r="T43" s="158"/>
      <c r="U43" s="21">
        <v>0</v>
      </c>
      <c r="V43" s="21">
        <v>1</v>
      </c>
      <c r="W43" s="21">
        <v>0</v>
      </c>
      <c r="X43" s="156">
        <v>5</v>
      </c>
      <c r="Y43" s="157">
        <f>CEILING((IF(P43=AS_DEV_EFFORT, DEV_EFFORT*Q43%,
                           IF(P43=AS_DURATION_EFFORT, (MANUAL_DURATION*5)*Q43%,
                                    (IF(Q43&lt;=1,X43,
                                          IF(SUM(U43:W43)=0,(Q43*X43),
                                               (((Q43*U43)*(X43+(X43*EXTRA_FOR_H)))+
                                               ((Q43*V43)*X43)+
                                               ((Q43*W43)*(X43-(X43*LESS_FOR_L)))
                                    )*IF(R43=0,1,R43))))))+Z43), 0.25)</f>
        <v>5</v>
      </c>
      <c r="Z43" s="22"/>
      <c r="AA43" s="157">
        <f>Y43+Y43*VLOOKUP(I43,EXTRAS_ARRAY,2,FALSE)</f>
        <v>5</v>
      </c>
      <c r="AB43" s="20"/>
      <c r="AC43" s="34"/>
      <c r="AD43" s="23" t="str">
        <f>IF(J43&lt;&gt;"Yes",
IF(S43&lt;=0,"Error: Effort value is not defined or is invalid.",
IF(AND(SUM(U43:W43)&gt;0,SUM(U43:W43)&lt;&gt;1),"Error: Complexity % distribution should sum to 100%.",
IF(AND(P43=AS_DEV_EFFORT,X43&lt;&gt;0),"Error: PDs should not be defined when defining as dev effort %.",
IF(AND(P43=AS_DURATION_EFFORT,X43&lt;&gt;0),"Error: PDs should not be defined when defining as duration effort %.","")))))</f>
        <v/>
      </c>
    </row>
    <row r="44" spans="1:30" ht="43.5" customHeight="1" outlineLevel="2" x14ac:dyDescent="0.35">
      <c r="A44" s="86" t="s">
        <v>52</v>
      </c>
      <c r="B44" s="18"/>
      <c r="C44" s="78"/>
      <c r="D44" s="78"/>
      <c r="E44" s="78"/>
      <c r="F44" s="79"/>
      <c r="G44" s="19" t="s">
        <v>59</v>
      </c>
      <c r="H44" s="19" t="s">
        <v>60</v>
      </c>
      <c r="I44" s="20" t="s">
        <v>59</v>
      </c>
      <c r="J44" s="19" t="s">
        <v>59</v>
      </c>
      <c r="K44" s="35"/>
      <c r="L44" s="19"/>
      <c r="M44" s="263">
        <f ca="1">IFERROR(OFFSET(M44,-1,,1,1)+0.1,OFFSET(M44,-1,-1,1,1)&amp;".1")</f>
        <v>5.1999999999999993</v>
      </c>
      <c r="N44" s="20" t="s">
        <v>104</v>
      </c>
      <c r="O44" s="20" t="s">
        <v>105</v>
      </c>
      <c r="P44" s="20"/>
      <c r="Q44" s="134"/>
      <c r="R44" s="127"/>
      <c r="S44" s="157">
        <f>CEILING((IF(J44="Yes", 0, IF(H44="-",AA44,AA44+AA44*VLOOKUP(H44,BUFFERS_BY_TYPE,2,FALSE)))) +
   (IF(J44="Yes", 0, IF(H44="-",AA44,AA44+AA44*VLOOKUP(H44,BUFFERS_BY_TYPE,2,FALSE))))*VLOOKUP($S$5, SALES_CALL_SCALE_ARRAY, 2,FALSE),0.25)</f>
        <v>2.25</v>
      </c>
      <c r="T44" s="158"/>
      <c r="U44" s="21">
        <v>0</v>
      </c>
      <c r="V44" s="21">
        <v>1</v>
      </c>
      <c r="W44" s="21">
        <v>0</v>
      </c>
      <c r="X44" s="156">
        <v>2</v>
      </c>
      <c r="Y44" s="157">
        <f>CEILING((IF(P44=AS_DEV_EFFORT, DEV_EFFORT*Q44%,
                           IF(P44=AS_DURATION_EFFORT, (MANUAL_DURATION*5)*Q44%,
                                    (IF(Q44&lt;=1,X44,
                                          IF(SUM(U44:W44)=0,(Q44*X44),
                                               (((Q44*U44)*(X44+(X44*EXTRA_FOR_H)))+
                                               ((Q44*V44)*X44)+
                                               ((Q44*W44)*(X44-(X44*LESS_FOR_L)))
                                    )*IF(R44=0,1,R44))))))+Z44), 0.25)</f>
        <v>2</v>
      </c>
      <c r="Z44" s="22"/>
      <c r="AA44" s="157">
        <f>Y44+Y44*VLOOKUP(I44,EXTRAS_ARRAY,2,FALSE)</f>
        <v>2</v>
      </c>
      <c r="AB44" s="20"/>
      <c r="AC44" s="34"/>
      <c r="AD44" s="23" t="str">
        <f>IF(J44&lt;&gt;"Yes",
IF(S44&lt;=0,"Error: Effort value is not defined or is invalid.",
IF(AND(SUM(U44:W44)&gt;0,SUM(U44:W44)&lt;&gt;1),"Error: Complexity % distribution should sum to 100%.",
IF(AND(P44=AS_DEV_EFFORT,X44&lt;&gt;0),"Error: PDs should not be defined when defining as dev effort %.",
IF(AND(P44=AS_DURATION_EFFORT,X44&lt;&gt;0),"Error: PDs should not be defined when defining as duration effort %.","")))))</f>
        <v/>
      </c>
    </row>
    <row r="45" spans="1:30" ht="43.5" customHeight="1" outlineLevel="2" x14ac:dyDescent="0.35">
      <c r="A45" s="86" t="s">
        <v>52</v>
      </c>
      <c r="B45" s="18"/>
      <c r="C45" s="78"/>
      <c r="D45" s="78"/>
      <c r="E45" s="78"/>
      <c r="F45" s="79"/>
      <c r="G45" s="19" t="s">
        <v>59</v>
      </c>
      <c r="H45" s="19" t="s">
        <v>60</v>
      </c>
      <c r="I45" s="20" t="s">
        <v>59</v>
      </c>
      <c r="J45" s="19" t="s">
        <v>59</v>
      </c>
      <c r="K45" s="35"/>
      <c r="L45" s="19"/>
      <c r="M45" s="263">
        <f ca="1">IFERROR(OFFSET(M45,-1,,1,1)+0.1,OFFSET(M45,-1,-1,1,1)&amp;".1")</f>
        <v>5.2999999999999989</v>
      </c>
      <c r="N45" s="20" t="s">
        <v>106</v>
      </c>
      <c r="O45" s="20" t="s">
        <v>107</v>
      </c>
      <c r="P45" s="20"/>
      <c r="Q45" s="134"/>
      <c r="R45" s="127"/>
      <c r="S45" s="157">
        <f>CEILING((IF(J45="Yes", 0, IF(H45="-",AA45,AA45+AA45*VLOOKUP(H45,BUFFERS_BY_TYPE,2,FALSE)))) +
   (IF(J45="Yes", 0, IF(H45="-",AA45,AA45+AA45*VLOOKUP(H45,BUFFERS_BY_TYPE,2,FALSE))))*VLOOKUP($S$5, SALES_CALL_SCALE_ARRAY, 2,FALSE),0.25)</f>
        <v>1.25</v>
      </c>
      <c r="T45" s="158"/>
      <c r="U45" s="21">
        <v>0</v>
      </c>
      <c r="V45" s="21">
        <v>1</v>
      </c>
      <c r="W45" s="21">
        <v>0</v>
      </c>
      <c r="X45" s="156">
        <v>1</v>
      </c>
      <c r="Y45" s="157">
        <f>CEILING((IF(P45=AS_DEV_EFFORT, DEV_EFFORT*Q45%,
                           IF(P45=AS_DURATION_EFFORT, (MANUAL_DURATION*5)*Q45%,
                                    (IF(Q45&lt;=1,X45,
                                          IF(SUM(U45:W45)=0,(Q45*X45),
                                               (((Q45*U45)*(X45+(X45*EXTRA_FOR_H)))+
                                               ((Q45*V45)*X45)+
                                               ((Q45*W45)*(X45-(X45*LESS_FOR_L)))
                                    )*IF(R45=0,1,R45))))))+Z45), 0.25)</f>
        <v>1</v>
      </c>
      <c r="Z45" s="22"/>
      <c r="AA45" s="157">
        <f>Y45+Y45*VLOOKUP(I45,EXTRAS_ARRAY,2,FALSE)</f>
        <v>1</v>
      </c>
      <c r="AB45" s="20"/>
      <c r="AC45" s="34"/>
      <c r="AD45" s="23" t="str">
        <f>IF(J45&lt;&gt;"Yes",
IF(S45&lt;=0,"Error: Effort value is not defined or is invalid.",
IF(AND(SUM(U45:W45)&gt;0,SUM(U45:W45)&lt;&gt;1),"Error: Complexity % distribution should sum to 100%.",
IF(AND(P45=AS_DEV_EFFORT,X45&lt;&gt;0),"Error: PDs should not be defined when defining as dev effort %.",
IF(AND(P45=AS_DURATION_EFFORT,X45&lt;&gt;0),"Error: PDs should not be defined when defining as duration effort %.","")))))</f>
        <v/>
      </c>
    </row>
    <row r="46" spans="1:30" s="9" customFormat="1" ht="7.5" customHeight="1" outlineLevel="2" x14ac:dyDescent="0.35">
      <c r="A46" s="86" t="s">
        <v>70</v>
      </c>
      <c r="B46" s="15"/>
      <c r="C46" s="72"/>
      <c r="D46" s="72"/>
      <c r="E46" s="72"/>
      <c r="F46" s="72"/>
      <c r="M46" s="252"/>
      <c r="T46" s="15"/>
      <c r="X46" s="15"/>
      <c r="AB46" s="10"/>
      <c r="AC46" s="10"/>
      <c r="AD46" s="10"/>
    </row>
    <row r="47" spans="1:30" s="14" customFormat="1" ht="15.5" customHeight="1" outlineLevel="1" x14ac:dyDescent="0.35">
      <c r="A47" s="86" t="s">
        <v>55</v>
      </c>
      <c r="B47" s="18"/>
      <c r="C47" s="77"/>
      <c r="D47" s="77"/>
      <c r="E47" s="77"/>
      <c r="F47" s="76"/>
      <c r="G47" s="29"/>
      <c r="H47" s="29"/>
      <c r="I47" s="29"/>
      <c r="J47" s="29"/>
      <c r="K47" s="29"/>
      <c r="L47" s="17">
        <f ca="1">LOOKUP(1000,INDIRECT("L1:"&amp;CELL("address",INDIRECT("R[-1]C",FALSE))))+1</f>
        <v>6</v>
      </c>
      <c r="M47" s="287" t="s">
        <v>108</v>
      </c>
      <c r="N47" s="288"/>
      <c r="O47" s="5"/>
      <c r="P47" s="30"/>
      <c r="Q47" s="30"/>
      <c r="R47" s="30"/>
      <c r="S47" s="30"/>
      <c r="T47" s="155">
        <f>IF($S$6="Exclude", SUMIFS(S48:S53, J48:J53, "&lt;&gt;Yes", G48:G53, "&lt;&gt;Yes"), SUMIFS(S48:S53, J48:J53, "&lt;&gt;Yes"))</f>
        <v>9.25</v>
      </c>
      <c r="U47" s="30"/>
      <c r="V47" s="30"/>
      <c r="W47" s="30"/>
      <c r="X47" s="31"/>
      <c r="Y47" s="32"/>
      <c r="Z47" s="32"/>
      <c r="AA47" s="32"/>
      <c r="AB47" s="219"/>
      <c r="AC47" s="33"/>
      <c r="AD47" s="23" t="str">
        <f>IF(M47="", "Error: Task name cannot be empty.", "")</f>
        <v/>
      </c>
    </row>
    <row r="48" spans="1:30" s="12" customFormat="1" ht="1.5" customHeight="1" outlineLevel="2" x14ac:dyDescent="0.35">
      <c r="A48" s="86" t="s">
        <v>57</v>
      </c>
      <c r="B48" s="18"/>
      <c r="C48" s="77"/>
      <c r="D48" s="77"/>
      <c r="E48" s="77"/>
      <c r="F48" s="76"/>
      <c r="G48" s="29"/>
      <c r="H48" s="29"/>
      <c r="I48" s="29"/>
      <c r="J48" s="29"/>
      <c r="K48" s="29"/>
      <c r="L48" s="163">
        <f ca="1">L47</f>
        <v>6</v>
      </c>
      <c r="M48" s="164" t="s">
        <v>58</v>
      </c>
      <c r="N48" s="161"/>
      <c r="O48" s="162"/>
      <c r="P48" s="30"/>
      <c r="Q48" s="30"/>
      <c r="R48" s="30"/>
      <c r="S48" s="30"/>
      <c r="T48" s="155"/>
      <c r="U48" s="30"/>
      <c r="V48" s="30"/>
      <c r="W48" s="30"/>
      <c r="X48" s="31"/>
      <c r="Y48" s="32"/>
      <c r="Z48" s="32"/>
      <c r="AA48" s="32"/>
      <c r="AB48" s="33"/>
      <c r="AC48" s="33"/>
      <c r="AD48" s="23"/>
    </row>
    <row r="49" spans="1:30" ht="15.5" customHeight="1" outlineLevel="2" x14ac:dyDescent="0.35">
      <c r="A49" s="86" t="s">
        <v>52</v>
      </c>
      <c r="B49" s="18"/>
      <c r="C49" s="78"/>
      <c r="D49" s="78"/>
      <c r="E49" s="78"/>
      <c r="F49" s="79"/>
      <c r="G49" s="19" t="s">
        <v>59</v>
      </c>
      <c r="H49" s="19" t="s">
        <v>60</v>
      </c>
      <c r="I49" s="20" t="s">
        <v>59</v>
      </c>
      <c r="J49" s="19" t="s">
        <v>59</v>
      </c>
      <c r="K49" s="35"/>
      <c r="L49" s="19"/>
      <c r="M49" s="263" t="str">
        <f ca="1">IFERROR(OFFSET(M49,-1,,1,1)+0.1,OFFSET(M49,-1,-1,1,1)&amp;".1")</f>
        <v>6.1</v>
      </c>
      <c r="N49" s="20" t="s">
        <v>109</v>
      </c>
      <c r="O49" s="20" t="s">
        <v>110</v>
      </c>
      <c r="P49" s="20"/>
      <c r="Q49" s="134"/>
      <c r="R49" s="127"/>
      <c r="S49" s="157">
        <f>CEILING((IF(J49="Yes", 0, IF(H49="-",AA49,AA49+AA49*VLOOKUP(H49,BUFFERS_BY_TYPE,2,FALSE)))) +
   (IF(J49="Yes", 0, IF(H49="-",AA49,AA49+AA49*VLOOKUP(H49,BUFFERS_BY_TYPE,2,FALSE))))*VLOOKUP($S$5, SALES_CALL_SCALE_ARRAY, 2,FALSE),0.25)</f>
        <v>3.5</v>
      </c>
      <c r="T49" s="158"/>
      <c r="U49" s="21">
        <v>0</v>
      </c>
      <c r="V49" s="21">
        <v>1</v>
      </c>
      <c r="W49" s="21">
        <v>0</v>
      </c>
      <c r="X49" s="156">
        <v>3</v>
      </c>
      <c r="Y49" s="157">
        <f>CEILING((IF(P49=AS_DEV_EFFORT, DEV_EFFORT*Q49%,
                           IF(P49=AS_DURATION_EFFORT, (MANUAL_DURATION*5)*Q49%,
                                    (IF(Q49&lt;=1,X49,
                                          IF(SUM(U49:W49)=0,(Q49*X49),
                                               (((Q49*U49)*(X49+(X49*EXTRA_FOR_H)))+
                                               ((Q49*V49)*X49)+
                                               ((Q49*W49)*(X49-(X49*LESS_FOR_L)))
                                    )*IF(R49=0,1,R49))))))+Z49), 0.25)</f>
        <v>3</v>
      </c>
      <c r="Z49" s="22"/>
      <c r="AA49" s="157">
        <f>Y49+Y49*VLOOKUP(I49,EXTRAS_ARRAY,2,FALSE)</f>
        <v>3</v>
      </c>
      <c r="AB49" s="20"/>
      <c r="AC49" s="34"/>
      <c r="AD49" s="23" t="str">
        <f>IF(J49&lt;&gt;"Yes",
IF(S49&lt;=0,"Error: Effort value is not defined or is invalid.",
IF(AND(SUM(U49:W49)&gt;0,SUM(U49:W49)&lt;&gt;1),"Error: Complexity % distribution should sum to 100%.",
IF(AND(P49=AS_DEV_EFFORT,X49&lt;&gt;0),"Error: PDs should not be defined when defining as dev effort %.",
IF(AND(P49=AS_DURATION_EFFORT,X49&lt;&gt;0),"Error: PDs should not be defined when defining as duration effort %.","")))))</f>
        <v/>
      </c>
    </row>
    <row r="50" spans="1:30" ht="15.5" customHeight="1" outlineLevel="2" x14ac:dyDescent="0.35">
      <c r="A50" s="86" t="s">
        <v>52</v>
      </c>
      <c r="B50" s="18"/>
      <c r="C50" s="78"/>
      <c r="D50" s="78"/>
      <c r="E50" s="78"/>
      <c r="F50" s="79"/>
      <c r="G50" s="19" t="s">
        <v>89</v>
      </c>
      <c r="H50" s="19" t="s">
        <v>59</v>
      </c>
      <c r="I50" s="20" t="s">
        <v>59</v>
      </c>
      <c r="J50" s="19" t="s">
        <v>59</v>
      </c>
      <c r="K50" s="35"/>
      <c r="L50" s="19"/>
      <c r="M50" s="263">
        <f ca="1">IFERROR(OFFSET(M50,-1,,1,1)+0.1,OFFSET(M50,-1,-1,1,1)&amp;".1")</f>
        <v>6.1999999999999993</v>
      </c>
      <c r="N50" s="20" t="s">
        <v>111</v>
      </c>
      <c r="O50" s="20" t="s">
        <v>112</v>
      </c>
      <c r="P50" s="20"/>
      <c r="Q50" s="134"/>
      <c r="R50" s="127"/>
      <c r="S50" s="157">
        <f>CEILING((IF(J50="Yes", 0, IF(H50="-",AA50,AA50+AA50*VLOOKUP(H50,BUFFERS_BY_TYPE,2,FALSE)))) +
   (IF(J50="Yes", 0, IF(H50="-",AA50,AA50+AA50*VLOOKUP(H50,BUFFERS_BY_TYPE,2,FALSE))))*VLOOKUP($S$5, SALES_CALL_SCALE_ARRAY, 2,FALSE),0.25)</f>
        <v>3</v>
      </c>
      <c r="T50" s="158"/>
      <c r="U50" s="21">
        <v>0</v>
      </c>
      <c r="V50" s="21">
        <v>1</v>
      </c>
      <c r="W50" s="21">
        <v>0</v>
      </c>
      <c r="X50" s="156">
        <v>3</v>
      </c>
      <c r="Y50" s="157">
        <f>CEILING((IF(P50=AS_DEV_EFFORT, DEV_EFFORT*Q50%,
                           IF(P50=AS_DURATION_EFFORT, (MANUAL_DURATION*5)*Q50%,
                                    (IF(Q50&lt;=1,X50,
                                          IF(SUM(U50:W50)=0,(Q50*X50),
                                               (((Q50*U50)*(X50+(X50*EXTRA_FOR_H)))+
                                               ((Q50*V50)*X50)+
                                               ((Q50*W50)*(X50-(X50*LESS_FOR_L)))
                                    )*IF(R50=0,1,R50))))))+Z50), 0.25)</f>
        <v>3</v>
      </c>
      <c r="Z50" s="22"/>
      <c r="AA50" s="157">
        <f>Y50+Y50*VLOOKUP(I50,EXTRAS_ARRAY,2,FALSE)</f>
        <v>3</v>
      </c>
      <c r="AB50" s="20"/>
      <c r="AC50" s="34"/>
      <c r="AD50" s="23" t="str">
        <f>IF(J50&lt;&gt;"Yes",
IF(S50&lt;=0,"Error: Effort value is not defined or is invalid.",
IF(AND(SUM(U50:W50)&gt;0,SUM(U50:W50)&lt;&gt;1),"Error: Complexity % distribution should sum to 100%.",
IF(AND(P50=AS_DEV_EFFORT,X50&lt;&gt;0),"Error: PDs should not be defined when defining as dev effort %.",
IF(AND(P50=AS_DURATION_EFFORT,X50&lt;&gt;0),"Error: PDs should not be defined when defining as duration effort %.","")))))</f>
        <v/>
      </c>
    </row>
    <row r="51" spans="1:30" ht="15.5" customHeight="1" outlineLevel="2" x14ac:dyDescent="0.35">
      <c r="A51" s="86" t="s">
        <v>52</v>
      </c>
      <c r="B51" s="18"/>
      <c r="C51" s="78"/>
      <c r="D51" s="78"/>
      <c r="E51" s="78"/>
      <c r="F51" s="79"/>
      <c r="G51" s="19" t="s">
        <v>89</v>
      </c>
      <c r="H51" s="19" t="s">
        <v>59</v>
      </c>
      <c r="I51" s="20" t="s">
        <v>59</v>
      </c>
      <c r="J51" s="19" t="s">
        <v>59</v>
      </c>
      <c r="K51" s="35"/>
      <c r="L51" s="19"/>
      <c r="M51" s="263">
        <f ca="1">IFERROR(OFFSET(M51,-1,,1,1)+0.1,OFFSET(M51,-1,-1,1,1)&amp;".1")</f>
        <v>6.2999999999999989</v>
      </c>
      <c r="N51" s="20" t="s">
        <v>113</v>
      </c>
      <c r="O51" s="20" t="s">
        <v>114</v>
      </c>
      <c r="P51" s="20"/>
      <c r="Q51" s="134"/>
      <c r="R51" s="127"/>
      <c r="S51" s="157">
        <f>CEILING((IF(J51="Yes", 0, IF(H51="-",AA51,AA51+AA51*VLOOKUP(H51,BUFFERS_BY_TYPE,2,FALSE)))) +
   (IF(J51="Yes", 0, IF(H51="-",AA51,AA51+AA51*VLOOKUP(H51,BUFFERS_BY_TYPE,2,FALSE))))*VLOOKUP($S$5, SALES_CALL_SCALE_ARRAY, 2,FALSE),0.25)</f>
        <v>2</v>
      </c>
      <c r="T51" s="158"/>
      <c r="U51" s="21">
        <v>0</v>
      </c>
      <c r="V51" s="21">
        <v>1</v>
      </c>
      <c r="W51" s="21">
        <v>0</v>
      </c>
      <c r="X51" s="156">
        <v>2</v>
      </c>
      <c r="Y51" s="157">
        <f>CEILING((IF(P51=AS_DEV_EFFORT, DEV_EFFORT*Q51%,
                           IF(P51=AS_DURATION_EFFORT, (MANUAL_DURATION*5)*Q51%,
                                    (IF(Q51&lt;=1,X51,
                                          IF(SUM(U51:W51)=0,(Q51*X51),
                                               (((Q51*U51)*(X51+(X51*EXTRA_FOR_H)))+
                                               ((Q51*V51)*X51)+
                                               ((Q51*W51)*(X51-(X51*LESS_FOR_L)))
                                    )*IF(R51=0,1,R51))))))+Z51), 0.25)</f>
        <v>2</v>
      </c>
      <c r="Z51" s="22"/>
      <c r="AA51" s="157">
        <f>Y51+Y51*VLOOKUP(I51,EXTRAS_ARRAY,2,FALSE)</f>
        <v>2</v>
      </c>
      <c r="AB51" s="20"/>
      <c r="AC51" s="34"/>
      <c r="AD51" s="23" t="str">
        <f>IF(J51&lt;&gt;"Yes",
IF(S51&lt;=0,"Error: Effort value is not defined or is invalid.",
IF(AND(SUM(U51:W51)&gt;0,SUM(U51:W51)&lt;&gt;1),"Error: Complexity % distribution should sum to 100%.",
IF(AND(P51=AS_DEV_EFFORT,X51&lt;&gt;0),"Error: PDs should not be defined when defining as dev effort %.",
IF(AND(P51=AS_DURATION_EFFORT,X51&lt;&gt;0),"Error: PDs should not be defined when defining as duration effort %.","")))))</f>
        <v/>
      </c>
    </row>
    <row r="52" spans="1:30" ht="15.5" customHeight="1" outlineLevel="2" x14ac:dyDescent="0.35">
      <c r="A52" s="86" t="s">
        <v>52</v>
      </c>
      <c r="B52" s="18"/>
      <c r="C52" s="78"/>
      <c r="D52" s="78"/>
      <c r="E52" s="78"/>
      <c r="F52" s="79"/>
      <c r="G52" s="19" t="s">
        <v>59</v>
      </c>
      <c r="H52" s="19" t="s">
        <v>60</v>
      </c>
      <c r="I52" s="20" t="s">
        <v>59</v>
      </c>
      <c r="J52" s="19" t="s">
        <v>59</v>
      </c>
      <c r="K52" s="35"/>
      <c r="L52" s="19"/>
      <c r="M52" s="263">
        <f ca="1">IFERROR(OFFSET(M52,-1,,1,1)+0.1,OFFSET(M52,-1,-1,1,1)&amp;".1")</f>
        <v>6.3999999999999986</v>
      </c>
      <c r="N52" s="20" t="s">
        <v>115</v>
      </c>
      <c r="O52" s="20" t="s">
        <v>116</v>
      </c>
      <c r="P52" s="251">
        <v>0.02</v>
      </c>
      <c r="Q52" s="134">
        <f>Total_Use_Cases * P52</f>
        <v>0</v>
      </c>
      <c r="R52" s="127"/>
      <c r="S52" s="157">
        <f>CEILING((IF(J52="Yes", 0, IF(H52="-",AA52,AA52+AA52*VLOOKUP(H52,BUFFERS_BY_TYPE,2,FALSE)))) +
   (IF(J52="Yes", 0, IF(H52="-",AA52,AA52+AA52*VLOOKUP(H52,BUFFERS_BY_TYPE,2,FALSE))))*VLOOKUP($S$5, SALES_CALL_SCALE_ARRAY, 2,FALSE),0.25)</f>
        <v>0.75</v>
      </c>
      <c r="T52" s="158"/>
      <c r="U52" s="21">
        <v>0</v>
      </c>
      <c r="V52" s="21">
        <v>1</v>
      </c>
      <c r="W52" s="21">
        <v>0</v>
      </c>
      <c r="X52" s="156">
        <v>0.5</v>
      </c>
      <c r="Y52" s="157">
        <f>CEILING((IF(P52=AS_DEV_EFFORT, DEV_EFFORT*Q52%,
                           IF(P52=AS_DURATION_EFFORT, (MANUAL_DURATION*5)*Q52%,
                                    (IF(Q52&lt;=1,X52,
                                          IF(SUM(U52:W52)=0,(Q52*X52),
                                               (((Q52*U52)*(X52+(X52*EXTRA_FOR_H)))+
                                               ((Q52*V52)*X52)+
                                               ((Q52*W52)*(X52-(X52*LESS_FOR_L)))
                                    )*IF(R52=0,1,R52))))))+Z52), 0.25)</f>
        <v>0.5</v>
      </c>
      <c r="Z52" s="22"/>
      <c r="AA52" s="157">
        <f>Y52+Y52*VLOOKUP(I52,EXTRAS_ARRAY,2,FALSE)</f>
        <v>0.5</v>
      </c>
      <c r="AB52" s="20" t="s">
        <v>117</v>
      </c>
      <c r="AC52" s="34"/>
      <c r="AD52" s="23" t="str">
        <f>IF(J52&lt;&gt;"Yes",
IF(S52&lt;=0,"Error: Effort value is not defined or is invalid.",
IF(AND(SUM(U52:W52)&gt;0,SUM(U52:W52)&lt;&gt;1),"Error: Complexity % distribution should sum to 100%.",
IF(AND(P52=AS_DEV_EFFORT,X52&lt;&gt;0),"Error: PDs should not be defined when defining as dev effort %.",
IF(AND(P52=AS_DURATION_EFFORT,X52&lt;&gt;0),"Error: PDs should not be defined when defining as duration effort %.","")))))</f>
        <v/>
      </c>
    </row>
    <row r="53" spans="1:30" s="9" customFormat="1" ht="7.5" customHeight="1" outlineLevel="2" x14ac:dyDescent="0.35">
      <c r="A53" s="86" t="s">
        <v>70</v>
      </c>
      <c r="B53" s="15"/>
      <c r="C53" s="72"/>
      <c r="D53" s="72"/>
      <c r="E53" s="72"/>
      <c r="F53" s="72"/>
      <c r="M53" s="252"/>
      <c r="T53" s="15"/>
      <c r="X53" s="15"/>
      <c r="AB53" s="10"/>
      <c r="AC53" s="10"/>
      <c r="AD53" s="10"/>
    </row>
    <row r="54" spans="1:30" s="9" customFormat="1" ht="3" customHeight="1" outlineLevel="1" x14ac:dyDescent="0.35">
      <c r="A54" s="86" t="s">
        <v>118</v>
      </c>
      <c r="C54" s="72"/>
      <c r="D54" s="72"/>
      <c r="E54" s="72"/>
      <c r="F54" s="72"/>
      <c r="G54" s="25"/>
      <c r="H54" s="25"/>
      <c r="I54" s="25"/>
      <c r="J54" s="25"/>
      <c r="K54" s="25"/>
      <c r="L54" s="56"/>
      <c r="M54" s="264"/>
      <c r="N54" s="57"/>
      <c r="O54" s="57"/>
      <c r="P54" s="56"/>
      <c r="Q54" s="56"/>
      <c r="R54" s="56"/>
      <c r="S54" s="56"/>
      <c r="T54" s="56"/>
      <c r="U54" s="56"/>
      <c r="V54" s="56"/>
      <c r="W54" s="56"/>
      <c r="X54" s="56"/>
      <c r="Y54" s="56"/>
      <c r="Z54" s="56"/>
      <c r="AA54" s="56"/>
      <c r="AB54" s="57"/>
      <c r="AC54" s="57"/>
      <c r="AD54" s="10"/>
    </row>
    <row r="55" spans="1:30" s="14" customFormat="1" ht="18.5" customHeight="1" x14ac:dyDescent="0.35">
      <c r="A55" s="86" t="s">
        <v>49</v>
      </c>
      <c r="B55" s="12"/>
      <c r="C55" s="73"/>
      <c r="D55" s="73"/>
      <c r="E55" s="73"/>
      <c r="F55" s="72"/>
      <c r="G55" s="52"/>
      <c r="H55" s="52"/>
      <c r="I55" s="52"/>
      <c r="J55" s="52"/>
      <c r="K55" s="52"/>
      <c r="L55" s="52" t="s">
        <v>119</v>
      </c>
      <c r="M55" s="261" t="s">
        <v>120</v>
      </c>
      <c r="N55" s="53"/>
      <c r="O55" s="54"/>
      <c r="P55" s="55"/>
      <c r="Q55" s="55"/>
      <c r="R55" s="55"/>
      <c r="S55" s="305">
        <f>CEILING(SUMIF(J56:J74, "&lt;&gt;Yes", T56:T74),1)</f>
        <v>51</v>
      </c>
      <c r="T55" s="292"/>
      <c r="U55" s="55"/>
      <c r="V55" s="55"/>
      <c r="W55" s="55"/>
      <c r="X55" s="55"/>
      <c r="Y55" s="55"/>
      <c r="Z55" s="55"/>
      <c r="AA55" s="55"/>
      <c r="AB55" s="55"/>
      <c r="AC55" s="55"/>
      <c r="AD55" s="13"/>
    </row>
    <row r="56" spans="1:30" s="9" customFormat="1" ht="3" customHeight="1" outlineLevel="1" x14ac:dyDescent="0.35">
      <c r="A56" s="86" t="s">
        <v>54</v>
      </c>
      <c r="B56" s="15"/>
      <c r="C56" s="72"/>
      <c r="D56" s="72"/>
      <c r="E56" s="72"/>
      <c r="F56" s="72"/>
      <c r="G56" s="25"/>
      <c r="H56" s="25"/>
      <c r="I56" s="25"/>
      <c r="J56" s="25"/>
      <c r="K56" s="25"/>
      <c r="L56" s="26">
        <v>0</v>
      </c>
      <c r="M56" s="262"/>
      <c r="N56" s="25"/>
      <c r="O56" s="25"/>
      <c r="P56" s="25"/>
      <c r="Q56" s="25"/>
      <c r="R56" s="25"/>
      <c r="S56" s="25"/>
      <c r="T56" s="27"/>
      <c r="U56" s="25"/>
      <c r="V56" s="25"/>
      <c r="W56" s="25"/>
      <c r="X56" s="27"/>
      <c r="Y56" s="25"/>
      <c r="Z56" s="25"/>
      <c r="AA56" s="25"/>
      <c r="AB56" s="28"/>
      <c r="AC56" s="28"/>
      <c r="AD56" s="10"/>
    </row>
    <row r="57" spans="1:30" s="14" customFormat="1" ht="15.5" customHeight="1" outlineLevel="1" x14ac:dyDescent="0.35">
      <c r="A57" s="86" t="s">
        <v>55</v>
      </c>
      <c r="B57" s="18"/>
      <c r="C57" s="77"/>
      <c r="D57" s="77"/>
      <c r="E57" s="77"/>
      <c r="F57" s="76"/>
      <c r="G57" s="29"/>
      <c r="H57" s="29"/>
      <c r="I57" s="29"/>
      <c r="J57" s="29"/>
      <c r="K57" s="29"/>
      <c r="L57" s="17">
        <f ca="1">LOOKUP(1000,INDIRECT("L1:"&amp;CELL("address",INDIRECT("R[-1]C",FALSE))))+1</f>
        <v>1</v>
      </c>
      <c r="M57" s="287" t="s">
        <v>121</v>
      </c>
      <c r="N57" s="288"/>
      <c r="O57" s="5"/>
      <c r="P57" s="30"/>
      <c r="Q57" s="30"/>
      <c r="R57" s="30"/>
      <c r="S57" s="30"/>
      <c r="T57" s="155">
        <f>IF($S$6="Exclude", SUMIFS(S58:S60, J58:J60, "&lt;&gt;Yes", G58:G60, "&lt;&gt;Yes"), SUMIFS(S58:S60, J58:J60, "&lt;&gt;Yes"))</f>
        <v>11</v>
      </c>
      <c r="U57" s="30"/>
      <c r="V57" s="30"/>
      <c r="W57" s="30"/>
      <c r="X57" s="31"/>
      <c r="Y57" s="32"/>
      <c r="Z57" s="32"/>
      <c r="AA57" s="32"/>
      <c r="AB57" s="219"/>
      <c r="AC57" s="33"/>
      <c r="AD57" s="23" t="str">
        <f>IF(M57="", "Error: Task name cannot be empty.", "")</f>
        <v/>
      </c>
    </row>
    <row r="58" spans="1:30" s="12" customFormat="1" ht="1.5" customHeight="1" outlineLevel="2" x14ac:dyDescent="0.35">
      <c r="A58" s="86" t="s">
        <v>57</v>
      </c>
      <c r="B58" s="18"/>
      <c r="C58" s="77"/>
      <c r="D58" s="77"/>
      <c r="E58" s="77"/>
      <c r="F58" s="76"/>
      <c r="G58" s="29"/>
      <c r="H58" s="29"/>
      <c r="I58" s="29"/>
      <c r="J58" s="29"/>
      <c r="K58" s="29"/>
      <c r="L58" s="163">
        <f ca="1">L57</f>
        <v>1</v>
      </c>
      <c r="M58" s="164" t="s">
        <v>58</v>
      </c>
      <c r="N58" s="161"/>
      <c r="O58" s="162"/>
      <c r="P58" s="30"/>
      <c r="Q58" s="30"/>
      <c r="R58" s="30"/>
      <c r="S58" s="30"/>
      <c r="T58" s="155"/>
      <c r="U58" s="30"/>
      <c r="V58" s="30"/>
      <c r="W58" s="30"/>
      <c r="X58" s="31"/>
      <c r="Y58" s="32"/>
      <c r="Z58" s="32"/>
      <c r="AA58" s="32"/>
      <c r="AB58" s="33"/>
      <c r="AC58" s="33"/>
      <c r="AD58" s="23"/>
    </row>
    <row r="59" spans="1:30" ht="15.5" customHeight="1" outlineLevel="2" x14ac:dyDescent="0.35">
      <c r="A59" s="86" t="s">
        <v>52</v>
      </c>
      <c r="B59" s="18"/>
      <c r="C59" s="78"/>
      <c r="D59" s="78"/>
      <c r="E59" s="78"/>
      <c r="F59" s="79"/>
      <c r="G59" s="19" t="s">
        <v>59</v>
      </c>
      <c r="H59" s="19" t="s">
        <v>60</v>
      </c>
      <c r="I59" s="20" t="s">
        <v>59</v>
      </c>
      <c r="J59" s="19" t="s">
        <v>59</v>
      </c>
      <c r="K59" s="35"/>
      <c r="L59" s="19"/>
      <c r="M59" s="263" t="str">
        <f ca="1">IFERROR(OFFSET(M59,-1,,1,1)+0.1,OFFSET(M59,-1,-1,1,1)&amp;".1")</f>
        <v>1.1</v>
      </c>
      <c r="N59" s="20" t="s">
        <v>122</v>
      </c>
      <c r="O59" s="20" t="s">
        <v>123</v>
      </c>
      <c r="P59" s="20"/>
      <c r="Q59" s="134"/>
      <c r="R59" s="127"/>
      <c r="S59" s="157">
        <f>CEILING((IF(J59="Yes", 0, IF(H59="-",AA59,AA59+AA59*VLOOKUP(H59,BUFFERS_BY_TYPE,2,FALSE)))) +
   (IF(J59="Yes", 0, IF(H59="-",AA59,AA59+AA59*VLOOKUP(H59,BUFFERS_BY_TYPE,2,FALSE))))*VLOOKUP($S$5, SALES_CALL_SCALE_ARRAY, 2,FALSE),0.25)</f>
        <v>11</v>
      </c>
      <c r="T59" s="158"/>
      <c r="U59" s="21">
        <v>0</v>
      </c>
      <c r="V59" s="21">
        <v>1</v>
      </c>
      <c r="W59" s="21">
        <v>0</v>
      </c>
      <c r="X59" s="156">
        <v>10</v>
      </c>
      <c r="Y59" s="157">
        <f>CEILING((IF(P59=AS_DEV_EFFORT, DEV_EFFORT*Q59%,
                           IF(P59=AS_DURATION_EFFORT, (MANUAL_DURATION*5)*Q59%,
                                    (IF(Q59&lt;=1,X59,
                                          IF(SUM(U59:W59)=0,(Q59*X59),
                                               (((Q59*U59)*(X59+(X59*EXTRA_FOR_H)))+
                                               ((Q59*V59)*X59)+
                                               ((Q59*W59)*(X59-(X59*LESS_FOR_L)))
                                    )*IF(R59=0,1,R59))))))+Z59), 0.25)</f>
        <v>10</v>
      </c>
      <c r="Z59" s="22"/>
      <c r="AA59" s="157">
        <f>Y59+Y59*VLOOKUP(I59,EXTRAS_ARRAY,2,FALSE)</f>
        <v>10</v>
      </c>
      <c r="AB59" s="20"/>
      <c r="AC59" s="34"/>
      <c r="AD59" s="23" t="str">
        <f>IF(J59&lt;&gt;"Yes",
IF(S59&lt;=0,"Error: Effort value is not defined or is invalid.",
IF(AND(SUM(U59:W59)&gt;0,SUM(U59:W59)&lt;&gt;1),"Error: Complexity % distribution should sum to 100%.",
IF(AND(P59=AS_DEV_EFFORT,X59&lt;&gt;0),"Error: PDs should not be defined when defining as dev effort %.",
IF(AND(P59=AS_DURATION_EFFORT,X59&lt;&gt;0),"Error: PDs should not be defined when defining as duration effort %.","")))))</f>
        <v/>
      </c>
    </row>
    <row r="60" spans="1:30" s="9" customFormat="1" ht="7.5" customHeight="1" outlineLevel="2" x14ac:dyDescent="0.35">
      <c r="A60" s="86" t="s">
        <v>70</v>
      </c>
      <c r="B60" s="15"/>
      <c r="C60" s="72"/>
      <c r="D60" s="72"/>
      <c r="E60" s="72"/>
      <c r="F60" s="72"/>
      <c r="M60" s="252"/>
      <c r="T60" s="15"/>
      <c r="X60" s="15"/>
      <c r="AB60" s="10"/>
      <c r="AC60" s="10"/>
      <c r="AD60" s="10"/>
    </row>
    <row r="61" spans="1:30" s="14" customFormat="1" ht="15.5" customHeight="1" outlineLevel="1" x14ac:dyDescent="0.35">
      <c r="A61" s="86" t="s">
        <v>55</v>
      </c>
      <c r="B61" s="18"/>
      <c r="C61" s="77"/>
      <c r="D61" s="77"/>
      <c r="E61" s="77"/>
      <c r="F61" s="76"/>
      <c r="G61" s="29"/>
      <c r="H61" s="29"/>
      <c r="I61" s="29"/>
      <c r="J61" s="29"/>
      <c r="K61" s="29"/>
      <c r="L61" s="17">
        <f ca="1">LOOKUP(1000,INDIRECT("L1:"&amp;CELL("address",INDIRECT("R[-1]C",FALSE))))+1</f>
        <v>2</v>
      </c>
      <c r="M61" s="287" t="s">
        <v>124</v>
      </c>
      <c r="N61" s="288"/>
      <c r="O61" s="5"/>
      <c r="P61" s="30"/>
      <c r="Q61" s="30"/>
      <c r="R61" s="30"/>
      <c r="S61" s="30"/>
      <c r="T61" s="155">
        <f>IF($S$6="Exclude", SUMIFS(S62:S66, J62:J66, "&lt;&gt;Yes", G62:G66, "&lt;&gt;Yes"), SUMIFS(S62:S66, J62:J66, "&lt;&gt;Yes"))</f>
        <v>17</v>
      </c>
      <c r="U61" s="30"/>
      <c r="V61" s="30"/>
      <c r="W61" s="30"/>
      <c r="X61" s="31"/>
      <c r="Y61" s="32"/>
      <c r="Z61" s="32"/>
      <c r="AA61" s="32"/>
      <c r="AB61" s="219"/>
      <c r="AC61" s="33"/>
      <c r="AD61" s="23" t="str">
        <f>IF(M61="", "Error: Task name cannot be empty.", "")</f>
        <v/>
      </c>
    </row>
    <row r="62" spans="1:30" s="12" customFormat="1" ht="1.5" customHeight="1" outlineLevel="2" x14ac:dyDescent="0.35">
      <c r="A62" s="86" t="s">
        <v>57</v>
      </c>
      <c r="B62" s="18"/>
      <c r="C62" s="77"/>
      <c r="D62" s="77"/>
      <c r="E62" s="77"/>
      <c r="F62" s="76"/>
      <c r="G62" s="29"/>
      <c r="H62" s="29"/>
      <c r="I62" s="29"/>
      <c r="J62" s="29"/>
      <c r="K62" s="29"/>
      <c r="L62" s="163">
        <f ca="1">L61</f>
        <v>2</v>
      </c>
      <c r="M62" s="164" t="s">
        <v>58</v>
      </c>
      <c r="N62" s="161"/>
      <c r="O62" s="162"/>
      <c r="P62" s="30"/>
      <c r="Q62" s="30"/>
      <c r="R62" s="30"/>
      <c r="S62" s="30"/>
      <c r="T62" s="155"/>
      <c r="U62" s="30"/>
      <c r="V62" s="30"/>
      <c r="W62" s="30"/>
      <c r="X62" s="31"/>
      <c r="Y62" s="32"/>
      <c r="Z62" s="32"/>
      <c r="AA62" s="32"/>
      <c r="AB62" s="33"/>
      <c r="AC62" s="33"/>
      <c r="AD62" s="23"/>
    </row>
    <row r="63" spans="1:30" ht="43.5" customHeight="1" outlineLevel="2" x14ac:dyDescent="0.35">
      <c r="A63" s="86" t="s">
        <v>52</v>
      </c>
      <c r="B63" s="18"/>
      <c r="C63" s="78"/>
      <c r="D63" s="78"/>
      <c r="E63" s="78"/>
      <c r="F63" s="79"/>
      <c r="G63" s="19" t="s">
        <v>59</v>
      </c>
      <c r="H63" s="19" t="s">
        <v>66</v>
      </c>
      <c r="I63" s="20" t="s">
        <v>125</v>
      </c>
      <c r="J63" s="19" t="s">
        <v>59</v>
      </c>
      <c r="K63" s="35"/>
      <c r="L63" s="19"/>
      <c r="M63" s="263" t="str">
        <f ca="1">IFERROR(OFFSET(M63,-1,,1,1)+0.1,OFFSET(M63,-1,-1,1,1)&amp;".1")</f>
        <v>2.1</v>
      </c>
      <c r="N63" s="20" t="s">
        <v>126</v>
      </c>
      <c r="O63" s="20" t="s">
        <v>127</v>
      </c>
      <c r="P63" s="20"/>
      <c r="Q63" s="134"/>
      <c r="R63" s="127"/>
      <c r="S63" s="157">
        <f>CEILING((IF(J63="Yes", 0, IF(H63="-",AA63,AA63+AA63*VLOOKUP(H63,BUFFERS_BY_TYPE,2,FALSE)))) +
   (IF(J63="Yes", 0, IF(H63="-",AA63,AA63+AA63*VLOOKUP(H63,BUFFERS_BY_TYPE,2,FALSE))))*VLOOKUP($S$5, SALES_CALL_SCALE_ARRAY, 2,FALSE),0.25)</f>
        <v>7.75</v>
      </c>
      <c r="T63" s="158"/>
      <c r="U63" s="21">
        <v>0</v>
      </c>
      <c r="V63" s="21">
        <v>1</v>
      </c>
      <c r="W63" s="21">
        <v>0</v>
      </c>
      <c r="X63" s="156">
        <v>6</v>
      </c>
      <c r="Y63" s="157">
        <f>CEILING((IF(P63=AS_DEV_EFFORT, DEV_EFFORT*Q63%,
                           IF(P63=AS_DURATION_EFFORT, (MANUAL_DURATION*5)*Q63%,
                                    (IF(Q63&lt;=1,X63,
                                          IF(SUM(U63:W63)=0,(Q63*X63),
                                               (((Q63*U63)*(X63+(X63*EXTRA_FOR_H)))+
                                               ((Q63*V63)*X63)+
                                               ((Q63*W63)*(X63-(X63*LESS_FOR_L)))
                                    )*IF(R63=0,1,R63))))))+Z63), 0.25)</f>
        <v>6</v>
      </c>
      <c r="Z63" s="22"/>
      <c r="AA63" s="157">
        <f>Y63+Y63*VLOOKUP(I63,EXTRAS_ARRAY,2,FALSE)</f>
        <v>6.6</v>
      </c>
      <c r="AB63" s="20"/>
      <c r="AC63" s="34"/>
      <c r="AD63" s="23" t="str">
        <f>IF(J63&lt;&gt;"Yes",
IF(S63&lt;=0,"Error: Effort value is not defined or is invalid.",
IF(AND(SUM(U63:W63)&gt;0,SUM(U63:W63)&lt;&gt;1),"Error: Complexity % distribution should sum to 100%.",
IF(AND(P63=AS_DEV_EFFORT,X63&lt;&gt;0),"Error: PDs should not be defined when defining as dev effort %.",
IF(AND(P63=AS_DURATION_EFFORT,X63&lt;&gt;0),"Error: PDs should not be defined when defining as duration effort %.","")))))</f>
        <v/>
      </c>
    </row>
    <row r="64" spans="1:30" ht="43.5" customHeight="1" outlineLevel="2" x14ac:dyDescent="0.35">
      <c r="A64" s="86" t="s">
        <v>52</v>
      </c>
      <c r="B64" s="18"/>
      <c r="C64" s="78"/>
      <c r="D64" s="78"/>
      <c r="E64" s="78"/>
      <c r="F64" s="79"/>
      <c r="G64" s="19" t="s">
        <v>59</v>
      </c>
      <c r="H64" s="19" t="s">
        <v>66</v>
      </c>
      <c r="I64" s="20" t="s">
        <v>59</v>
      </c>
      <c r="J64" s="19" t="s">
        <v>59</v>
      </c>
      <c r="K64" s="35"/>
      <c r="L64" s="19"/>
      <c r="M64" s="263">
        <f ca="1">IFERROR(OFFSET(M64,-1,,1,1)+0.1,OFFSET(M64,-1,-1,1,1)&amp;".1")</f>
        <v>2.2000000000000002</v>
      </c>
      <c r="N64" s="20" t="s">
        <v>128</v>
      </c>
      <c r="O64" s="20" t="s">
        <v>129</v>
      </c>
      <c r="P64" s="20"/>
      <c r="Q64" s="134"/>
      <c r="R64" s="127"/>
      <c r="S64" s="157">
        <f>CEILING((IF(J64="Yes", 0, IF(H64="-",AA64,AA64+AA64*VLOOKUP(H64,BUFFERS_BY_TYPE,2,FALSE)))) +
   (IF(J64="Yes", 0, IF(H64="-",AA64,AA64+AA64*VLOOKUP(H64,BUFFERS_BY_TYPE,2,FALSE))))*VLOOKUP($S$5, SALES_CALL_SCALE_ARRAY, 2,FALSE),0.25)</f>
        <v>7</v>
      </c>
      <c r="T64" s="158"/>
      <c r="U64" s="21">
        <v>0</v>
      </c>
      <c r="V64" s="21">
        <v>1</v>
      </c>
      <c r="W64" s="21">
        <v>0</v>
      </c>
      <c r="X64" s="156">
        <v>6</v>
      </c>
      <c r="Y64" s="157">
        <f>CEILING((IF(P64=AS_DEV_EFFORT, DEV_EFFORT*Q64%,
                           IF(P64=AS_DURATION_EFFORT, (MANUAL_DURATION*5)*Q64%,
                                    (IF(Q64&lt;=1,X64,
                                          IF(SUM(U64:W64)=0,(Q64*X64),
                                               (((Q64*U64)*(X64+(X64*EXTRA_FOR_H)))+
                                               ((Q64*V64)*X64)+
                                               ((Q64*W64)*(X64-(X64*LESS_FOR_L)))
                                    )*IF(R64=0,1,R64))))))+Z64), 0.25)</f>
        <v>6</v>
      </c>
      <c r="Z64" s="22"/>
      <c r="AA64" s="157">
        <f>Y64+Y64*VLOOKUP(I64,EXTRAS_ARRAY,2,FALSE)</f>
        <v>6</v>
      </c>
      <c r="AB64" s="20"/>
      <c r="AC64" s="34"/>
      <c r="AD64" s="23" t="str">
        <f>IF(J64&lt;&gt;"Yes",
IF(S64&lt;=0,"Error: Effort value is not defined or is invalid.",
IF(AND(SUM(U64:W64)&gt;0,SUM(U64:W64)&lt;&gt;1),"Error: Complexity % distribution should sum to 100%.",
IF(AND(P64=AS_DEV_EFFORT,X64&lt;&gt;0),"Error: PDs should not be defined when defining as dev effort %.",
IF(AND(P64=AS_DURATION_EFFORT,X64&lt;&gt;0),"Error: PDs should not be defined when defining as duration effort %.","")))))</f>
        <v/>
      </c>
    </row>
    <row r="65" spans="1:30" ht="29" customHeight="1" outlineLevel="2" x14ac:dyDescent="0.35">
      <c r="A65" s="86" t="s">
        <v>52</v>
      </c>
      <c r="B65" s="18"/>
      <c r="C65" s="78"/>
      <c r="D65" s="78"/>
      <c r="E65" s="78"/>
      <c r="F65" s="79"/>
      <c r="G65" s="19" t="s">
        <v>59</v>
      </c>
      <c r="H65" s="19" t="s">
        <v>60</v>
      </c>
      <c r="I65" s="20" t="s">
        <v>59</v>
      </c>
      <c r="J65" s="19" t="s">
        <v>59</v>
      </c>
      <c r="K65" s="35"/>
      <c r="L65" s="19"/>
      <c r="M65" s="263">
        <f ca="1">IFERROR(OFFSET(M65,-1,,1,1)+0.1,OFFSET(M65,-1,-1,1,1)&amp;".1")</f>
        <v>2.3000000000000003</v>
      </c>
      <c r="N65" s="20" t="s">
        <v>130</v>
      </c>
      <c r="O65" s="20" t="s">
        <v>131</v>
      </c>
      <c r="P65" s="20"/>
      <c r="Q65" s="134"/>
      <c r="R65" s="127"/>
      <c r="S65" s="157">
        <f>CEILING((IF(J65="Yes", 0, IF(H65="-",AA65,AA65+AA65*VLOOKUP(H65,BUFFERS_BY_TYPE,2,FALSE)))) +
   (IF(J65="Yes", 0, IF(H65="-",AA65,AA65+AA65*VLOOKUP(H65,BUFFERS_BY_TYPE,2,FALSE))))*VLOOKUP($S$5, SALES_CALL_SCALE_ARRAY, 2,FALSE),0.25)</f>
        <v>2.25</v>
      </c>
      <c r="T65" s="158"/>
      <c r="U65" s="21">
        <v>0</v>
      </c>
      <c r="V65" s="21">
        <v>1</v>
      </c>
      <c r="W65" s="21">
        <v>0</v>
      </c>
      <c r="X65" s="156">
        <v>2</v>
      </c>
      <c r="Y65" s="157">
        <f>CEILING((IF(P65=AS_DEV_EFFORT, DEV_EFFORT*Q65%,
                           IF(P65=AS_DURATION_EFFORT, (MANUAL_DURATION*5)*Q65%,
                                    (IF(Q65&lt;=1,X65,
                                          IF(SUM(U65:W65)=0,(Q65*X65),
                                               (((Q65*U65)*(X65+(X65*EXTRA_FOR_H)))+
                                               ((Q65*V65)*X65)+
                                               ((Q65*W65)*(X65-(X65*LESS_FOR_L)))
                                    )*IF(R65=0,1,R65))))))+Z65), 0.25)</f>
        <v>2</v>
      </c>
      <c r="Z65" s="22"/>
      <c r="AA65" s="157">
        <f>Y65+Y65*VLOOKUP(I65,EXTRAS_ARRAY,2,FALSE)</f>
        <v>2</v>
      </c>
      <c r="AB65" s="20"/>
      <c r="AC65" s="34"/>
      <c r="AD65" s="23" t="str">
        <f>IF(J65&lt;&gt;"Yes",
IF(S65&lt;=0,"Error: Effort value is not defined or is invalid.",
IF(AND(SUM(U65:W65)&gt;0,SUM(U65:W65)&lt;&gt;1),"Error: Complexity % distribution should sum to 100%.",
IF(AND(P65=AS_DEV_EFFORT,X65&lt;&gt;0),"Error: PDs should not be defined when defining as dev effort %.",
IF(AND(P65=AS_DURATION_EFFORT,X65&lt;&gt;0),"Error: PDs should not be defined when defining as duration effort %.","")))))</f>
        <v/>
      </c>
    </row>
    <row r="66" spans="1:30" s="9" customFormat="1" ht="7.5" customHeight="1" outlineLevel="2" x14ac:dyDescent="0.35">
      <c r="A66" s="86" t="s">
        <v>70</v>
      </c>
      <c r="B66" s="15"/>
      <c r="C66" s="72"/>
      <c r="D66" s="72"/>
      <c r="E66" s="72"/>
      <c r="F66" s="72"/>
      <c r="M66" s="252"/>
      <c r="T66" s="15"/>
      <c r="X66" s="15"/>
      <c r="AB66" s="10"/>
      <c r="AC66" s="10"/>
      <c r="AD66" s="10"/>
    </row>
    <row r="67" spans="1:30" s="14" customFormat="1" ht="15.5" customHeight="1" outlineLevel="1" x14ac:dyDescent="0.35">
      <c r="A67" s="86" t="s">
        <v>55</v>
      </c>
      <c r="B67" s="18"/>
      <c r="C67" s="77"/>
      <c r="D67" s="77"/>
      <c r="E67" s="77"/>
      <c r="F67" s="76"/>
      <c r="G67" s="29"/>
      <c r="H67" s="29"/>
      <c r="I67" s="29"/>
      <c r="J67" s="29"/>
      <c r="K67" s="29"/>
      <c r="L67" s="17">
        <f ca="1">LOOKUP(1000,INDIRECT("L1:"&amp;CELL("address",INDIRECT("R[-1]C",FALSE))))+1</f>
        <v>3</v>
      </c>
      <c r="M67" s="287" t="s">
        <v>132</v>
      </c>
      <c r="N67" s="288"/>
      <c r="O67" s="5"/>
      <c r="P67" s="30"/>
      <c r="Q67" s="30"/>
      <c r="R67" s="30"/>
      <c r="S67" s="30"/>
      <c r="T67" s="155">
        <f>IF($S$6="Exclude", SUMIFS(S68:S73, J68:J73, "&lt;&gt;Yes", G68:G73, "&lt;&gt;Yes"), SUMIFS(S68:S73, J68:J73, "&lt;&gt;Yes"))</f>
        <v>23</v>
      </c>
      <c r="U67" s="30"/>
      <c r="V67" s="30"/>
      <c r="W67" s="30"/>
      <c r="X67" s="31"/>
      <c r="Y67" s="32"/>
      <c r="Z67" s="32"/>
      <c r="AA67" s="32"/>
      <c r="AB67" s="219"/>
      <c r="AC67" s="33"/>
      <c r="AD67" s="23" t="str">
        <f>IF(M67="", "Error: Task name cannot be empty.", "")</f>
        <v/>
      </c>
    </row>
    <row r="68" spans="1:30" s="12" customFormat="1" ht="1.5" customHeight="1" outlineLevel="2" x14ac:dyDescent="0.35">
      <c r="A68" s="86" t="s">
        <v>57</v>
      </c>
      <c r="B68" s="18"/>
      <c r="C68" s="77"/>
      <c r="D68" s="77"/>
      <c r="E68" s="77"/>
      <c r="F68" s="76"/>
      <c r="G68" s="29"/>
      <c r="H68" s="29"/>
      <c r="I68" s="29"/>
      <c r="J68" s="29"/>
      <c r="K68" s="29"/>
      <c r="L68" s="163">
        <f ca="1">L67</f>
        <v>3</v>
      </c>
      <c r="M68" s="164" t="s">
        <v>58</v>
      </c>
      <c r="N68" s="161"/>
      <c r="O68" s="162"/>
      <c r="P68" s="30"/>
      <c r="Q68" s="30"/>
      <c r="R68" s="30"/>
      <c r="S68" s="30"/>
      <c r="T68" s="155"/>
      <c r="U68" s="30"/>
      <c r="V68" s="30"/>
      <c r="W68" s="30"/>
      <c r="X68" s="31"/>
      <c r="Y68" s="32"/>
      <c r="Z68" s="32"/>
      <c r="AA68" s="32"/>
      <c r="AB68" s="33"/>
      <c r="AC68" s="33"/>
      <c r="AD68" s="23"/>
    </row>
    <row r="69" spans="1:30" ht="29" customHeight="1" outlineLevel="2" x14ac:dyDescent="0.35">
      <c r="A69" s="86" t="s">
        <v>52</v>
      </c>
      <c r="B69" s="18"/>
      <c r="C69" s="78"/>
      <c r="D69" s="78"/>
      <c r="E69" s="78"/>
      <c r="F69" s="79"/>
      <c r="G69" s="19" t="s">
        <v>59</v>
      </c>
      <c r="H69" s="19" t="s">
        <v>66</v>
      </c>
      <c r="I69" s="20" t="s">
        <v>59</v>
      </c>
      <c r="J69" s="19" t="s">
        <v>59</v>
      </c>
      <c r="K69" s="35"/>
      <c r="L69" s="19"/>
      <c r="M69" s="263" t="str">
        <f ca="1">IFERROR(OFFSET(M69,-1,,1,1)+0.1,OFFSET(M69,-1,-1,1,1)&amp;".1")</f>
        <v>3.1</v>
      </c>
      <c r="N69" s="20" t="s">
        <v>133</v>
      </c>
      <c r="O69" s="20" t="s">
        <v>134</v>
      </c>
      <c r="P69" s="20"/>
      <c r="Q69" s="134"/>
      <c r="R69" s="127"/>
      <c r="S69" s="157">
        <f>CEILING((IF(J69="Yes", 0, IF(H69="-",AA69,AA69+AA69*VLOOKUP(H69,BUFFERS_BY_TYPE,2,FALSE)))) +
   (IF(J69="Yes", 0, IF(H69="-",AA69,AA69+AA69*VLOOKUP(H69,BUFFERS_BY_TYPE,2,FALSE))))*VLOOKUP($S$5, SALES_CALL_SCALE_ARRAY, 2,FALSE),0.25)</f>
        <v>5.75</v>
      </c>
      <c r="T69" s="158"/>
      <c r="U69" s="21">
        <v>0</v>
      </c>
      <c r="V69" s="21">
        <v>1</v>
      </c>
      <c r="W69" s="21">
        <v>0</v>
      </c>
      <c r="X69" s="156">
        <v>5</v>
      </c>
      <c r="Y69" s="157">
        <f>CEILING((IF(P69=AS_DEV_EFFORT, DEV_EFFORT*Q69%,
                           IF(P69=AS_DURATION_EFFORT, (MANUAL_DURATION*5)*Q69%,
                                    (IF(Q69&lt;=1,X69,
                                          IF(SUM(U69:W69)=0,(Q69*X69),
                                               (((Q69*U69)*(X69+(X69*EXTRA_FOR_H)))+
                                               ((Q69*V69)*X69)+
                                               ((Q69*W69)*(X69-(X69*LESS_FOR_L)))
                                    )*IF(R69=0,1,R69))))))+Z69), 0.25)</f>
        <v>5</v>
      </c>
      <c r="Z69" s="22"/>
      <c r="AA69" s="157">
        <f>Y69+Y69*VLOOKUP(I69,EXTRAS_ARRAY,2,FALSE)</f>
        <v>5</v>
      </c>
      <c r="AB69" s="20"/>
      <c r="AC69" s="34"/>
      <c r="AD69" s="23" t="str">
        <f>IF(J69&lt;&gt;"Yes",
IF(S69&lt;=0,"Error: Effort value is not defined or is invalid.",
IF(AND(SUM(U69:W69)&gt;0,SUM(U69:W69)&lt;&gt;1),"Error: Complexity % distribution should sum to 100%.",
IF(AND(P69=AS_DEV_EFFORT,X69&lt;&gt;0),"Error: PDs should not be defined when defining as dev effort %.",
IF(AND(P69=AS_DURATION_EFFORT,X69&lt;&gt;0),"Error: PDs should not be defined when defining as duration effort %.","")))))</f>
        <v/>
      </c>
    </row>
    <row r="70" spans="1:30" ht="29" customHeight="1" outlineLevel="2" x14ac:dyDescent="0.35">
      <c r="A70" s="86" t="s">
        <v>52</v>
      </c>
      <c r="B70" s="18"/>
      <c r="C70" s="78"/>
      <c r="D70" s="78"/>
      <c r="E70" s="78"/>
      <c r="F70" s="79"/>
      <c r="G70" s="19" t="s">
        <v>59</v>
      </c>
      <c r="H70" s="19" t="s">
        <v>60</v>
      </c>
      <c r="I70" s="20" t="s">
        <v>59</v>
      </c>
      <c r="J70" s="19" t="s">
        <v>59</v>
      </c>
      <c r="K70" s="35"/>
      <c r="L70" s="19"/>
      <c r="M70" s="263">
        <f ca="1">IFERROR(OFFSET(M70,-1,,1,1)+0.1,OFFSET(M70,-1,-1,1,1)&amp;".1")</f>
        <v>3.2</v>
      </c>
      <c r="N70" s="20" t="s">
        <v>135</v>
      </c>
      <c r="O70" s="20" t="s">
        <v>136</v>
      </c>
      <c r="P70" s="20"/>
      <c r="Q70" s="134"/>
      <c r="R70" s="127"/>
      <c r="S70" s="157">
        <f>CEILING((IF(J70="Yes", 0, IF(H70="-",AA70,AA70+AA70*VLOOKUP(H70,BUFFERS_BY_TYPE,2,FALSE)))) +
(IF(J70="Yes", 0, IF(H70="-",AA70,AA70+AA70*VLOOKUP(H70,BUFFERS_BY_TYPE,2,FALSE))))*VLOOKUP($S$5, SALES_CALL_SCALE_ARRAY, 2,FALSE),0.25)</f>
        <v>5.5</v>
      </c>
      <c r="T70" s="158"/>
      <c r="U70" s="21">
        <v>0</v>
      </c>
      <c r="V70" s="21">
        <v>1</v>
      </c>
      <c r="W70" s="21">
        <v>0</v>
      </c>
      <c r="X70" s="156">
        <v>5</v>
      </c>
      <c r="Y70" s="157">
        <f>CEILING((IF(P70=AS_DEV_EFFORT, DEV_EFFORT*Q70%,
IF(P70=AS_DURATION_EFFORT, (MANUAL_DURATION*5)*Q70%,
(IF(Q70&lt;=1,X70,
IF(SUM(U70:W70)=0,(Q70*X70),
(((Q70*U70)*(X70+(X70*EXTRA_FOR_H)))+
((Q70*V70)*X70)+
((Q70*W70)*(X70-(X70*LESS_FOR_L)))
)*IF(R70=0,1,R70))))))+Z70), 0.25)</f>
        <v>5</v>
      </c>
      <c r="Z70" s="22"/>
      <c r="AA70" s="157">
        <f>Y70+Y70*VLOOKUP(I70,EXTRAS_ARRAY,2,FALSE)</f>
        <v>5</v>
      </c>
      <c r="AB70" s="20"/>
      <c r="AC70" s="34"/>
      <c r="AD70" s="23" t="str">
        <f>IF(J70&lt;&gt;"Yes",
IF(S70&lt;=0,"Error: Effort value is not defined or is invalid.",
IF(AND(SUM(U70:W70)&gt;0,SUM(U70:W70)&lt;&gt;1),"Error: Complexity % distribution should sum to 100%.",
IF(AND(P70=AS_DEV_EFFORT,X70&lt;&gt;0),"Error: PDs should not be defined when defining as dev effort %.",
IF(AND(P70=AS_DURATION_EFFORT,X70&lt;&gt;0),"Error: PDs should not be defined when defining as duration effort %.","")))))</f>
        <v/>
      </c>
    </row>
    <row r="71" spans="1:30" ht="29" customHeight="1" outlineLevel="2" x14ac:dyDescent="0.35">
      <c r="A71" s="86" t="s">
        <v>52</v>
      </c>
      <c r="B71" s="18"/>
      <c r="C71" s="78"/>
      <c r="D71" s="78"/>
      <c r="E71" s="78"/>
      <c r="F71" s="79"/>
      <c r="G71" s="19" t="s">
        <v>59</v>
      </c>
      <c r="H71" s="19" t="s">
        <v>66</v>
      </c>
      <c r="I71" s="20" t="s">
        <v>59</v>
      </c>
      <c r="J71" s="19" t="s">
        <v>59</v>
      </c>
      <c r="K71" s="35"/>
      <c r="L71" s="19"/>
      <c r="M71" s="263">
        <f ca="1">IFERROR(OFFSET(M71,-1,,1,1)+0.1,OFFSET(M71,-1,-1,1,1)&amp;".1")</f>
        <v>3.3000000000000003</v>
      </c>
      <c r="N71" s="20" t="s">
        <v>137</v>
      </c>
      <c r="O71" s="20" t="s">
        <v>138</v>
      </c>
      <c r="P71" s="20"/>
      <c r="Q71" s="134"/>
      <c r="R71" s="127"/>
      <c r="S71" s="157">
        <f>CEILING((IF(J71="Yes", 0, IF(H71="-",AA71,AA71+AA71*VLOOKUP(H71,BUFFERS_BY_TYPE,2,FALSE)))) +
(IF(J71="Yes", 0, IF(H71="-",AA71,AA71+AA71*VLOOKUP(H71,BUFFERS_BY_TYPE,2,FALSE))))*VLOOKUP($S$5, SALES_CALL_SCALE_ARRAY, 2,FALSE),0.25)</f>
        <v>7</v>
      </c>
      <c r="T71" s="158"/>
      <c r="U71" s="21">
        <v>0</v>
      </c>
      <c r="V71" s="21">
        <v>1</v>
      </c>
      <c r="W71" s="21">
        <v>0</v>
      </c>
      <c r="X71" s="156">
        <v>6</v>
      </c>
      <c r="Y71" s="157">
        <f>CEILING((IF(P71=AS_DEV_EFFORT, DEV_EFFORT*Q71%,
IF(P71=AS_DURATION_EFFORT, (MANUAL_DURATION*5)*Q71%,
(IF(Q71&lt;=1,X71,
IF(SUM(U71:W71)=0,(Q71*X71),
(((Q71*U71)*(X71+(X71*EXTRA_FOR_H)))+
((Q71*V71)*X71)+
((Q71*W71)*(X71-(X71*LESS_FOR_L)))
)*IF(R71=0,1,R71))))))+Z71), 0.25)</f>
        <v>6</v>
      </c>
      <c r="Z71" s="22"/>
      <c r="AA71" s="157">
        <f>Y71+Y71*VLOOKUP(I71,EXTRAS_ARRAY,2,FALSE)</f>
        <v>6</v>
      </c>
      <c r="AB71" s="20"/>
      <c r="AC71" s="34"/>
      <c r="AD71" s="23" t="str">
        <f>IF(J71&lt;&gt;"Yes",
IF(S71&lt;=0,"Error: Effort value is not defined or is invalid.",
IF(AND(SUM(U71:W71)&gt;0,SUM(U71:W71)&lt;&gt;1),"Error: Complexity % distribution should sum to 100%.",
IF(AND(P71=AS_DEV_EFFORT,X71&lt;&gt;0),"Error: PDs should not be defined when defining as dev effort %.",
IF(AND(P71=AS_DURATION_EFFORT,X71&lt;&gt;0),"Error: PDs should not be defined when defining as duration effort %.","")))))</f>
        <v/>
      </c>
    </row>
    <row r="72" spans="1:30" ht="29" customHeight="1" outlineLevel="2" x14ac:dyDescent="0.35">
      <c r="A72" s="86" t="s">
        <v>52</v>
      </c>
      <c r="B72" s="18"/>
      <c r="C72" s="78"/>
      <c r="D72" s="78"/>
      <c r="E72" s="78"/>
      <c r="F72" s="79"/>
      <c r="G72" s="19" t="s">
        <v>59</v>
      </c>
      <c r="H72" s="19" t="s">
        <v>66</v>
      </c>
      <c r="I72" s="20" t="s">
        <v>59</v>
      </c>
      <c r="J72" s="19" t="s">
        <v>59</v>
      </c>
      <c r="K72" s="35"/>
      <c r="L72" s="19"/>
      <c r="M72" s="263">
        <f ca="1">IFERROR(OFFSET(M72,-1,,1,1)+0.1,OFFSET(M72,-1,-1,1,1)&amp;".1")</f>
        <v>3.4000000000000004</v>
      </c>
      <c r="N72" s="20" t="s">
        <v>139</v>
      </c>
      <c r="O72" s="20" t="s">
        <v>140</v>
      </c>
      <c r="P72" s="20"/>
      <c r="Q72" s="134"/>
      <c r="R72" s="127"/>
      <c r="S72" s="157">
        <f>CEILING((IF(J72="Yes", 0, IF(H72="-",AA72,AA72+AA72*VLOOKUP(H72,BUFFERS_BY_TYPE,2,FALSE)))) +
(IF(J72="Yes", 0, IF(H72="-",AA72,AA72+AA72*VLOOKUP(H72,BUFFERS_BY_TYPE,2,FALSE))))*VLOOKUP($S$5, SALES_CALL_SCALE_ARRAY, 2,FALSE),0.25)</f>
        <v>4.75</v>
      </c>
      <c r="T72" s="158"/>
      <c r="U72" s="21">
        <v>0</v>
      </c>
      <c r="V72" s="21">
        <v>1</v>
      </c>
      <c r="W72" s="21">
        <v>0</v>
      </c>
      <c r="X72" s="156">
        <v>4</v>
      </c>
      <c r="Y72" s="157">
        <f>CEILING((IF(P72=AS_DEV_EFFORT, DEV_EFFORT*Q72%,
IF(P72=AS_DURATION_EFFORT, (MANUAL_DURATION*5)*Q72%,
(IF(Q72&lt;=1,X72,
IF(SUM(U72:W72)=0,(Q72*X72),
(((Q72*U72)*(X72+(X72*EXTRA_FOR_H)))+
((Q72*V72)*X72)+
((Q72*W72)*(X72-(X72*LESS_FOR_L)))
)*IF(R72=0,1,R72))))))+Z72), 0.25)</f>
        <v>4</v>
      </c>
      <c r="Z72" s="22"/>
      <c r="AA72" s="157">
        <f>Y72+Y72*VLOOKUP(I72,EXTRAS_ARRAY,2,FALSE)</f>
        <v>4</v>
      </c>
      <c r="AB72" s="20"/>
      <c r="AC72" s="34"/>
      <c r="AD72" s="23" t="str">
        <f>IF(J72&lt;&gt;"Yes",
IF(S72&lt;=0,"Error: Effort value is not defined or is invalid.",
IF(AND(SUM(U72:W72)&gt;0,SUM(U72:W72)&lt;&gt;1),"Error: Complexity % distribution should sum to 100%.",
IF(AND(P72=AS_DEV_EFFORT,X72&lt;&gt;0),"Error: PDs should not be defined when defining as dev effort %.",
IF(AND(P72=AS_DURATION_EFFORT,X72&lt;&gt;0),"Error: PDs should not be defined when defining as duration effort %.","")))))</f>
        <v/>
      </c>
    </row>
    <row r="73" spans="1:30" s="9" customFormat="1" ht="7.5" customHeight="1" outlineLevel="2" x14ac:dyDescent="0.35">
      <c r="A73" s="86" t="s">
        <v>70</v>
      </c>
      <c r="B73" s="15"/>
      <c r="C73" s="72"/>
      <c r="D73" s="72"/>
      <c r="E73" s="72"/>
      <c r="F73" s="72"/>
      <c r="M73" s="252"/>
      <c r="T73" s="15"/>
      <c r="X73" s="15"/>
      <c r="AB73" s="10"/>
      <c r="AC73" s="10"/>
      <c r="AD73" s="10"/>
    </row>
    <row r="74" spans="1:30" s="9" customFormat="1" ht="3" customHeight="1" outlineLevel="1" x14ac:dyDescent="0.35">
      <c r="A74" s="86" t="s">
        <v>118</v>
      </c>
      <c r="C74" s="72"/>
      <c r="D74" s="72"/>
      <c r="E74" s="72"/>
      <c r="F74" s="72"/>
      <c r="G74" s="25"/>
      <c r="H74" s="25"/>
      <c r="I74" s="25"/>
      <c r="J74" s="25"/>
      <c r="K74" s="25"/>
      <c r="L74" s="56"/>
      <c r="M74" s="264"/>
      <c r="N74" s="57"/>
      <c r="O74" s="57"/>
      <c r="P74" s="56"/>
      <c r="Q74" s="56"/>
      <c r="R74" s="56"/>
      <c r="S74" s="56"/>
      <c r="T74" s="56"/>
      <c r="U74" s="56"/>
      <c r="V74" s="56"/>
      <c r="W74" s="56"/>
      <c r="X74" s="56"/>
      <c r="Y74" s="56"/>
      <c r="Z74" s="56"/>
      <c r="AA74" s="56"/>
      <c r="AB74" s="57"/>
      <c r="AC74" s="57"/>
      <c r="AD74" s="10"/>
    </row>
    <row r="75" spans="1:30" s="14" customFormat="1" ht="18.5" customHeight="1" x14ac:dyDescent="0.35">
      <c r="A75" s="86" t="s">
        <v>49</v>
      </c>
      <c r="B75" s="12"/>
      <c r="C75" s="73"/>
      <c r="D75" s="73"/>
      <c r="E75" s="73"/>
      <c r="F75" s="72"/>
      <c r="G75" s="52"/>
      <c r="H75" s="52"/>
      <c r="I75" s="52"/>
      <c r="J75" s="52"/>
      <c r="K75" s="52"/>
      <c r="L75" s="52" t="s">
        <v>141</v>
      </c>
      <c r="M75" s="261" t="s">
        <v>142</v>
      </c>
      <c r="N75" s="53"/>
      <c r="O75" s="54"/>
      <c r="P75" s="55"/>
      <c r="Q75" s="55"/>
      <c r="R75" s="55"/>
      <c r="S75" s="305">
        <f>CEILING(SUMIF(J76:J302, "&lt;&gt;Yes", T76:T302),1)</f>
        <v>367</v>
      </c>
      <c r="T75" s="292"/>
      <c r="U75" s="55"/>
      <c r="V75" s="55"/>
      <c r="W75" s="55"/>
      <c r="X75" s="168"/>
      <c r="Y75" s="168"/>
      <c r="Z75" s="55"/>
      <c r="AA75" s="168"/>
      <c r="AB75" s="55"/>
      <c r="AC75" s="55"/>
      <c r="AD75" s="13"/>
    </row>
    <row r="76" spans="1:30" s="9" customFormat="1" ht="3" customHeight="1" outlineLevel="1" x14ac:dyDescent="0.35">
      <c r="A76" s="86" t="s">
        <v>54</v>
      </c>
      <c r="B76" s="15"/>
      <c r="C76" s="72"/>
      <c r="D76" s="72"/>
      <c r="E76" s="72"/>
      <c r="F76" s="72"/>
      <c r="G76" s="25"/>
      <c r="H76" s="25"/>
      <c r="I76" s="25"/>
      <c r="J76" s="25"/>
      <c r="K76" s="25"/>
      <c r="L76" s="26">
        <v>0</v>
      </c>
      <c r="M76" s="262"/>
      <c r="N76" s="25"/>
      <c r="O76" s="25"/>
      <c r="P76" s="25"/>
      <c r="Q76" s="25"/>
      <c r="R76" s="25"/>
      <c r="S76" s="25"/>
      <c r="T76" s="27"/>
      <c r="U76" s="25"/>
      <c r="V76" s="25"/>
      <c r="W76" s="25"/>
      <c r="X76" s="27"/>
      <c r="Y76" s="25"/>
      <c r="Z76" s="25"/>
      <c r="AA76" s="25"/>
      <c r="AB76" s="28"/>
      <c r="AC76" s="28"/>
      <c r="AD76" s="10"/>
    </row>
    <row r="77" spans="1:30" s="14" customFormat="1" ht="15.5" customHeight="1" outlineLevel="1" x14ac:dyDescent="0.35">
      <c r="A77" s="86" t="s">
        <v>55</v>
      </c>
      <c r="B77" s="18"/>
      <c r="C77" s="77"/>
      <c r="D77" s="77"/>
      <c r="E77" s="77"/>
      <c r="F77" s="76"/>
      <c r="G77" s="29"/>
      <c r="H77" s="29"/>
      <c r="I77" s="29"/>
      <c r="J77" s="29"/>
      <c r="K77" s="29"/>
      <c r="L77" s="17">
        <f ca="1">LOOKUP(1000,INDIRECT("L1:"&amp;CELL("address",INDIRECT("R[-1]C",FALSE))))+1</f>
        <v>1</v>
      </c>
      <c r="M77" s="287" t="s">
        <v>143</v>
      </c>
      <c r="N77" s="288"/>
      <c r="O77" s="5"/>
      <c r="P77" s="30"/>
      <c r="Q77" s="30"/>
      <c r="R77" s="30"/>
      <c r="S77" s="30"/>
      <c r="T77" s="155">
        <f>IF($S$6="Exclude", SUMIFS(S78:S83, J78:J83, "&lt;&gt;Yes", G78:G83, "&lt;&gt;Yes"), SUMIFS(S78:S83, J78:J83, "&lt;&gt;Yes"))</f>
        <v>11.5</v>
      </c>
      <c r="U77" s="30"/>
      <c r="V77" s="30"/>
      <c r="W77" s="30"/>
      <c r="X77" s="31"/>
      <c r="Y77" s="32"/>
      <c r="Z77" s="32"/>
      <c r="AA77" s="32"/>
      <c r="AB77" s="219"/>
      <c r="AC77" s="33"/>
      <c r="AD77" s="23" t="str">
        <f>IF(M77="", "Error: Task name cannot be empty.", "")</f>
        <v/>
      </c>
    </row>
    <row r="78" spans="1:30" s="12" customFormat="1" ht="1.5" customHeight="1" outlineLevel="2" x14ac:dyDescent="0.35">
      <c r="A78" s="86" t="s">
        <v>57</v>
      </c>
      <c r="B78" s="18"/>
      <c r="C78" s="77"/>
      <c r="D78" s="77"/>
      <c r="E78" s="77"/>
      <c r="F78" s="76"/>
      <c r="G78" s="29"/>
      <c r="H78" s="29"/>
      <c r="I78" s="29"/>
      <c r="J78" s="29"/>
      <c r="K78" s="29"/>
      <c r="L78" s="163">
        <f ca="1">L77</f>
        <v>1</v>
      </c>
      <c r="M78" s="164" t="s">
        <v>58</v>
      </c>
      <c r="N78" s="161"/>
      <c r="O78" s="162"/>
      <c r="P78" s="30"/>
      <c r="Q78" s="30"/>
      <c r="R78" s="30"/>
      <c r="S78" s="30"/>
      <c r="T78" s="155"/>
      <c r="U78" s="30"/>
      <c r="V78" s="30"/>
      <c r="W78" s="30"/>
      <c r="X78" s="31"/>
      <c r="Y78" s="32"/>
      <c r="Z78" s="32"/>
      <c r="AA78" s="32"/>
      <c r="AB78" s="33"/>
      <c r="AC78" s="33"/>
      <c r="AD78" s="23"/>
    </row>
    <row r="79" spans="1:30" ht="15.5" customHeight="1" outlineLevel="2" x14ac:dyDescent="0.35">
      <c r="A79" s="86" t="s">
        <v>52</v>
      </c>
      <c r="B79" s="18"/>
      <c r="C79" s="78"/>
      <c r="D79" s="78"/>
      <c r="E79" s="78"/>
      <c r="F79" s="79"/>
      <c r="G79" s="19" t="s">
        <v>59</v>
      </c>
      <c r="H79" s="19" t="s">
        <v>60</v>
      </c>
      <c r="I79" s="20" t="s">
        <v>59</v>
      </c>
      <c r="J79" s="19" t="s">
        <v>59</v>
      </c>
      <c r="K79" s="35"/>
      <c r="L79" s="19"/>
      <c r="M79" s="263" t="str">
        <f ca="1">IFERROR(OFFSET(M79,-1,,1,1)+0.1,OFFSET(M79,-1,-1,1,1)&amp;".1")</f>
        <v>1.1</v>
      </c>
      <c r="N79" s="20" t="s">
        <v>144</v>
      </c>
      <c r="O79" s="20" t="s">
        <v>145</v>
      </c>
      <c r="P79" s="20"/>
      <c r="Q79" s="134"/>
      <c r="R79" s="127"/>
      <c r="S79" s="157">
        <f>CEILING((IF(J79="Yes", 0, IF(H79="-",AA79,AA79+AA79*VLOOKUP(H79,BUFFERS_BY_TYPE,2,FALSE)))) +
   (IF(J79="Yes", 0, IF(H79="-",AA79,AA79+AA79*VLOOKUP(H79,BUFFERS_BY_TYPE,2,FALSE))))*VLOOKUP($S$5, SALES_CALL_SCALE_ARRAY, 2,FALSE),0.25)</f>
        <v>1.25</v>
      </c>
      <c r="T79" s="158"/>
      <c r="U79" s="21">
        <v>0</v>
      </c>
      <c r="V79" s="21">
        <v>1</v>
      </c>
      <c r="W79" s="21">
        <v>0</v>
      </c>
      <c r="X79" s="156">
        <v>1</v>
      </c>
      <c r="Y79" s="157">
        <f>CEILING((IF(P79=AS_DEV_EFFORT, DEV_EFFORT*Q79%,
                           IF(P79=AS_DURATION_EFFORT, (MANUAL_DURATION*5)*Q79%,
                                    (IF(Q79&lt;=1,X79,
                                          IF(SUM(U79:W79)=0,(Q79*X79),
                                               (((Q79*U79)*(X79+(X79*EXTRA_FOR_H)))+
                                               ((Q79*V79)*X79)+
                                               ((Q79*W79)*(X79-(X79*LESS_FOR_L)))
                                    )*IF(R79=0,1,R79))))))+Z79), 0.25)</f>
        <v>1</v>
      </c>
      <c r="Z79" s="22"/>
      <c r="AA79" s="157">
        <f>Y79+Y79*VLOOKUP(I79,EXTRAS_ARRAY,2,FALSE)</f>
        <v>1</v>
      </c>
      <c r="AB79" s="20"/>
      <c r="AC79" s="34"/>
      <c r="AD79" s="23" t="str">
        <f>IF(J79&lt;&gt;"Yes",
IF(S79&lt;=0,"Error: Effort value is not defined or is invalid.",
IF(AND(SUM(U79:W79)&gt;0,SUM(U79:W79)&lt;&gt;1),"Error: Complexity % distribution should sum to 100%.",
IF(AND(P79=AS_DEV_EFFORT,X79&lt;&gt;0),"Error: PDs should not be defined when defining as dev effort %.",
IF(AND(P79=AS_DURATION_EFFORT,X79&lt;&gt;0),"Error: PDs should not be defined when defining as duration effort %.","")))))</f>
        <v/>
      </c>
    </row>
    <row r="80" spans="1:30" ht="15.5" customHeight="1" outlineLevel="2" x14ac:dyDescent="0.35">
      <c r="A80" s="86" t="s">
        <v>52</v>
      </c>
      <c r="B80" s="18"/>
      <c r="C80" s="78"/>
      <c r="D80" s="78"/>
      <c r="E80" s="78"/>
      <c r="F80" s="79"/>
      <c r="G80" s="19" t="s">
        <v>59</v>
      </c>
      <c r="H80" s="19" t="s">
        <v>60</v>
      </c>
      <c r="I80" s="20" t="s">
        <v>59</v>
      </c>
      <c r="J80" s="19" t="s">
        <v>59</v>
      </c>
      <c r="K80" s="35"/>
      <c r="L80" s="19"/>
      <c r="M80" s="263">
        <f ca="1">IFERROR(OFFSET(M80,-1,,1,1)+0.1,OFFSET(M80,-1,-1,1,1)&amp;".1")</f>
        <v>1.2000000000000002</v>
      </c>
      <c r="N80" s="20" t="s">
        <v>146</v>
      </c>
      <c r="O80" s="20" t="s">
        <v>147</v>
      </c>
      <c r="P80" s="20"/>
      <c r="Q80" s="134"/>
      <c r="R80" s="127"/>
      <c r="S80" s="157">
        <f>CEILING((IF(J80="Yes", 0, IF(H80="-",AA80,AA80+AA80*VLOOKUP(H80,BUFFERS_BY_TYPE,2,FALSE)))) +
   (IF(J80="Yes", 0, IF(H80="-",AA80,AA80+AA80*VLOOKUP(H80,BUFFERS_BY_TYPE,2,FALSE))))*VLOOKUP($S$5, SALES_CALL_SCALE_ARRAY, 2,FALSE),0.25)</f>
        <v>1.25</v>
      </c>
      <c r="T80" s="158"/>
      <c r="U80" s="21">
        <v>0</v>
      </c>
      <c r="V80" s="21">
        <v>1</v>
      </c>
      <c r="W80" s="21">
        <v>0</v>
      </c>
      <c r="X80" s="156">
        <v>1</v>
      </c>
      <c r="Y80" s="157">
        <f>CEILING((IF(P80=AS_DEV_EFFORT, DEV_EFFORT*Q80%,
                           IF(P80=AS_DURATION_EFFORT, (MANUAL_DURATION*5)*Q80%,
                                    (IF(Q80&lt;=1,X80,
                                          IF(SUM(U80:W80)=0,(Q80*X80),
                                               (((Q80*U80)*(X80+(X80*EXTRA_FOR_H)))+
                                               ((Q80*V80)*X80)+
                                               ((Q80*W80)*(X80-(X80*LESS_FOR_L)))
                                    )*IF(R80=0,1,R80))))))+Z80), 0.25)</f>
        <v>1</v>
      </c>
      <c r="Z80" s="22"/>
      <c r="AA80" s="157">
        <f>Y80+Y80*VLOOKUP(I80,EXTRAS_ARRAY,2,FALSE)</f>
        <v>1</v>
      </c>
      <c r="AB80" s="20"/>
      <c r="AC80" s="34"/>
      <c r="AD80" s="23" t="str">
        <f>IF(J80&lt;&gt;"Yes",
IF(S80&lt;=0,"Error: Effort value is not defined or is invalid.",
IF(AND(SUM(U80:W80)&gt;0,SUM(U80:W80)&lt;&gt;1),"Error: Complexity % distribution should sum to 100%.",
IF(AND(P80=AS_DEV_EFFORT,X80&lt;&gt;0),"Error: PDs should not be defined when defining as dev effort %.",
IF(AND(P80=AS_DURATION_EFFORT,X80&lt;&gt;0),"Error: PDs should not be defined when defining as duration effort %.","")))))</f>
        <v/>
      </c>
    </row>
    <row r="81" spans="1:30" ht="29" customHeight="1" outlineLevel="2" x14ac:dyDescent="0.35">
      <c r="A81" s="86" t="s">
        <v>52</v>
      </c>
      <c r="B81" s="18"/>
      <c r="C81" s="78"/>
      <c r="D81" s="78"/>
      <c r="E81" s="78"/>
      <c r="F81" s="79"/>
      <c r="G81" s="19" t="s">
        <v>59</v>
      </c>
      <c r="H81" s="19" t="s">
        <v>60</v>
      </c>
      <c r="I81" s="20" t="s">
        <v>59</v>
      </c>
      <c r="J81" s="19" t="s">
        <v>59</v>
      </c>
      <c r="K81" s="35"/>
      <c r="L81" s="19"/>
      <c r="M81" s="263">
        <f ca="1">IFERROR(OFFSET(M81,-1,,1,1)+0.1,OFFSET(M81,-1,-1,1,1)&amp;".1")</f>
        <v>1.3000000000000003</v>
      </c>
      <c r="N81" s="20" t="s">
        <v>148</v>
      </c>
      <c r="O81" s="20" t="s">
        <v>149</v>
      </c>
      <c r="P81" s="20"/>
      <c r="Q81" s="134"/>
      <c r="R81" s="127"/>
      <c r="S81" s="157">
        <f>CEILING((IF(J81="Yes", 0, IF(H81="-",AA81,AA81+AA81*VLOOKUP(H81,BUFFERS_BY_TYPE,2,FALSE)))) +
   (IF(J81="Yes", 0, IF(H81="-",AA81,AA81+AA81*VLOOKUP(H81,BUFFERS_BY_TYPE,2,FALSE))))*VLOOKUP($S$5, SALES_CALL_SCALE_ARRAY, 2,FALSE),0.25)</f>
        <v>3.5</v>
      </c>
      <c r="T81" s="158"/>
      <c r="U81" s="21">
        <v>0</v>
      </c>
      <c r="V81" s="21">
        <v>1</v>
      </c>
      <c r="W81" s="21">
        <v>0</v>
      </c>
      <c r="X81" s="156">
        <v>3</v>
      </c>
      <c r="Y81" s="157">
        <f>CEILING((IF(P81=AS_DEV_EFFORT, DEV_EFFORT*Q81%,
                           IF(P81=AS_DURATION_EFFORT, (MANUAL_DURATION*5)*Q81%,
                                    (IF(Q81&lt;=1,X81,
                                          IF(SUM(U81:W81)=0,(Q81*X81),
                                               (((Q81*U81)*(X81+(X81*EXTRA_FOR_H)))+
                                               ((Q81*V81)*X81)+
                                               ((Q81*W81)*(X81-(X81*LESS_FOR_L)))
                                    )*IF(R81=0,1,R81))))))+Z81), 0.25)</f>
        <v>3</v>
      </c>
      <c r="Z81" s="22"/>
      <c r="AA81" s="157">
        <f>Y81+Y81*VLOOKUP(I81,EXTRAS_ARRAY,2,FALSE)</f>
        <v>3</v>
      </c>
      <c r="AB81" s="20"/>
      <c r="AC81" s="34"/>
      <c r="AD81" s="23" t="str">
        <f>IF(J81&lt;&gt;"Yes",
IF(S81&lt;=0,"Error: Effort value is not defined or is invalid.",
IF(AND(SUM(U81:W81)&gt;0,SUM(U81:W81)&lt;&gt;1),"Error: Complexity % distribution should sum to 100%.",
IF(AND(P81=AS_DEV_EFFORT,X81&lt;&gt;0),"Error: PDs should not be defined when defining as dev effort %.",
IF(AND(P81=AS_DURATION_EFFORT,X81&lt;&gt;0),"Error: PDs should not be defined when defining as duration effort %.","")))))</f>
        <v/>
      </c>
    </row>
    <row r="82" spans="1:30" ht="15.5" customHeight="1" outlineLevel="2" x14ac:dyDescent="0.35">
      <c r="A82" s="86" t="s">
        <v>52</v>
      </c>
      <c r="B82" s="18"/>
      <c r="C82" s="78"/>
      <c r="D82" s="78"/>
      <c r="E82" s="78"/>
      <c r="F82" s="79"/>
      <c r="G82" s="19" t="s">
        <v>59</v>
      </c>
      <c r="H82" s="19" t="s">
        <v>60</v>
      </c>
      <c r="I82" s="20" t="s">
        <v>59</v>
      </c>
      <c r="J82" s="19" t="s">
        <v>59</v>
      </c>
      <c r="K82" s="35"/>
      <c r="L82" s="19"/>
      <c r="M82" s="263">
        <f ca="1">IFERROR(OFFSET(M82,-1,,1,1)+0.1,OFFSET(M82,-1,-1,1,1)&amp;".1")</f>
        <v>1.4000000000000004</v>
      </c>
      <c r="N82" s="20" t="s">
        <v>150</v>
      </c>
      <c r="O82" s="20" t="s">
        <v>151</v>
      </c>
      <c r="P82" s="20"/>
      <c r="Q82" s="134"/>
      <c r="R82" s="127"/>
      <c r="S82" s="157">
        <f>CEILING((IF(J82="Yes", 0, IF(H82="-",AA82,AA82+AA82*VLOOKUP(H82,BUFFERS_BY_TYPE,2,FALSE)))) +
   (IF(J82="Yes", 0, IF(H82="-",AA82,AA82+AA82*VLOOKUP(H82,BUFFERS_BY_TYPE,2,FALSE))))*VLOOKUP($S$5, SALES_CALL_SCALE_ARRAY, 2,FALSE),0.25)</f>
        <v>5.5</v>
      </c>
      <c r="T82" s="158"/>
      <c r="U82" s="21">
        <v>0</v>
      </c>
      <c r="V82" s="21">
        <v>1</v>
      </c>
      <c r="W82" s="21">
        <v>0</v>
      </c>
      <c r="X82" s="156">
        <v>5</v>
      </c>
      <c r="Y82" s="157">
        <f>CEILING((IF(P82=AS_DEV_EFFORT, DEV_EFFORT*Q82%,
                           IF(P82=AS_DURATION_EFFORT, (MANUAL_DURATION*5)*Q82%,
                                    (IF(Q82&lt;=1,X82,
                                          IF(SUM(U82:W82)=0,(Q82*X82),
                                               (((Q82*U82)*(X82+(X82*EXTRA_FOR_H)))+
                                               ((Q82*V82)*X82)+
                                               ((Q82*W82)*(X82-(X82*LESS_FOR_L)))
                                    )*IF(R82=0,1,R82))))))+Z82), 0.25)</f>
        <v>5</v>
      </c>
      <c r="Z82" s="22"/>
      <c r="AA82" s="157">
        <f>Y82+Y82*VLOOKUP(I82,EXTRAS_ARRAY,2,FALSE)</f>
        <v>5</v>
      </c>
      <c r="AB82" s="20"/>
      <c r="AC82" s="34"/>
      <c r="AD82" s="23" t="str">
        <f>IF(J82&lt;&gt;"Yes",
IF(S82&lt;=0,"Error: Effort value is not defined or is invalid.",
IF(AND(SUM(U82:W82)&gt;0,SUM(U82:W82)&lt;&gt;1),"Error: Complexity % distribution should sum to 100%.",
IF(AND(P82=AS_DEV_EFFORT,X82&lt;&gt;0),"Error: PDs should not be defined when defining as dev effort %.",
IF(AND(P82=AS_DURATION_EFFORT,X82&lt;&gt;0),"Error: PDs should not be defined when defining as duration effort %.","")))))</f>
        <v/>
      </c>
    </row>
    <row r="83" spans="1:30" s="9" customFormat="1" ht="7.5" customHeight="1" outlineLevel="2" x14ac:dyDescent="0.35">
      <c r="A83" s="86" t="s">
        <v>70</v>
      </c>
      <c r="B83" s="15"/>
      <c r="C83" s="72"/>
      <c r="D83" s="72"/>
      <c r="E83" s="72"/>
      <c r="F83" s="72"/>
      <c r="M83" s="252"/>
      <c r="T83" s="15"/>
      <c r="X83" s="15"/>
      <c r="AB83" s="10"/>
      <c r="AC83" s="10"/>
      <c r="AD83" s="10"/>
    </row>
    <row r="84" spans="1:30" s="14" customFormat="1" ht="15.5" customHeight="1" outlineLevel="1" x14ac:dyDescent="0.35">
      <c r="A84" s="86" t="s">
        <v>55</v>
      </c>
      <c r="B84" s="18"/>
      <c r="C84" s="77"/>
      <c r="D84" s="77"/>
      <c r="E84" s="77"/>
      <c r="F84" s="76"/>
      <c r="G84" s="29"/>
      <c r="H84" s="29"/>
      <c r="I84" s="29"/>
      <c r="J84" s="29"/>
      <c r="K84" s="29"/>
      <c r="L84" s="17">
        <f ca="1">LOOKUP(1000,INDIRECT("L1:"&amp;CELL("address",INDIRECT("R[-1]C",FALSE))))+1</f>
        <v>2</v>
      </c>
      <c r="M84" s="287" t="s">
        <v>152</v>
      </c>
      <c r="N84" s="288"/>
      <c r="O84" s="5"/>
      <c r="P84" s="30"/>
      <c r="Q84" s="30"/>
      <c r="R84" s="30"/>
      <c r="S84" s="30"/>
      <c r="T84" s="155">
        <f>IF($S$6="Exclude", SUMIFS(S85:S90, J85:J90, "&lt;&gt;Yes", G85:G90, "&lt;&gt;Yes"), SUMIFS(S85:S90, J85:J90, "&lt;&gt;Yes"))</f>
        <v>17.25</v>
      </c>
      <c r="U84" s="30"/>
      <c r="V84" s="30"/>
      <c r="W84" s="30"/>
      <c r="X84" s="31"/>
      <c r="Y84" s="32"/>
      <c r="Z84" s="32"/>
      <c r="AA84" s="32"/>
      <c r="AB84" s="219"/>
      <c r="AC84" s="33"/>
      <c r="AD84" s="23" t="str">
        <f>IF(M84="", "Error: Task name cannot be empty.", "")</f>
        <v/>
      </c>
    </row>
    <row r="85" spans="1:30" s="12" customFormat="1" ht="1.5" customHeight="1" outlineLevel="2" x14ac:dyDescent="0.35">
      <c r="A85" s="86" t="s">
        <v>57</v>
      </c>
      <c r="B85" s="18"/>
      <c r="C85" s="77"/>
      <c r="D85" s="77"/>
      <c r="E85" s="77"/>
      <c r="F85" s="76"/>
      <c r="G85" s="29"/>
      <c r="H85" s="29"/>
      <c r="I85" s="29"/>
      <c r="J85" s="29"/>
      <c r="K85" s="29"/>
      <c r="L85" s="163">
        <f ca="1">L84</f>
        <v>2</v>
      </c>
      <c r="M85" s="164" t="s">
        <v>58</v>
      </c>
      <c r="N85" s="161"/>
      <c r="O85" s="162"/>
      <c r="P85" s="30"/>
      <c r="Q85" s="30"/>
      <c r="R85" s="30"/>
      <c r="S85" s="30"/>
      <c r="T85" s="155"/>
      <c r="U85" s="30"/>
      <c r="V85" s="30"/>
      <c r="W85" s="30"/>
      <c r="X85" s="31"/>
      <c r="Y85" s="32"/>
      <c r="Z85" s="32"/>
      <c r="AA85" s="32"/>
      <c r="AB85" s="33"/>
      <c r="AC85" s="33"/>
      <c r="AD85" s="23"/>
    </row>
    <row r="86" spans="1:30" ht="43.5" customHeight="1" outlineLevel="2" x14ac:dyDescent="0.35">
      <c r="A86" s="86" t="s">
        <v>52</v>
      </c>
      <c r="B86" s="18"/>
      <c r="C86" s="78"/>
      <c r="D86" s="78"/>
      <c r="E86" s="78"/>
      <c r="F86" s="79"/>
      <c r="G86" s="19" t="s">
        <v>59</v>
      </c>
      <c r="H86" s="19" t="s">
        <v>60</v>
      </c>
      <c r="I86" s="20" t="s">
        <v>59</v>
      </c>
      <c r="J86" s="19" t="s">
        <v>59</v>
      </c>
      <c r="K86" s="35"/>
      <c r="L86" s="19"/>
      <c r="M86" s="263" t="str">
        <f ca="1">IFERROR(OFFSET(M86,-1,,1,1)+0.1,OFFSET(M86,-1,-1,1,1)&amp;".1")</f>
        <v>2.1</v>
      </c>
      <c r="N86" s="20" t="s">
        <v>153</v>
      </c>
      <c r="O86" s="20" t="s">
        <v>154</v>
      </c>
      <c r="P86" s="20"/>
      <c r="Q86" s="134"/>
      <c r="R86" s="127"/>
      <c r="S86" s="157">
        <f>CEILING((IF(J86="Yes", 0, IF(H86="-",AA86,AA86+AA86*VLOOKUP(H86,BUFFERS_BY_TYPE,2,FALSE)))) +
   (IF(J86="Yes", 0, IF(H86="-",AA86,AA86+AA86*VLOOKUP(H86,BUFFERS_BY_TYPE,2,FALSE))))*VLOOKUP($S$5, SALES_CALL_SCALE_ARRAY, 2,FALSE),0.25)</f>
        <v>4.5</v>
      </c>
      <c r="T86" s="158"/>
      <c r="U86" s="21">
        <v>0</v>
      </c>
      <c r="V86" s="21">
        <v>1</v>
      </c>
      <c r="W86" s="21">
        <v>0</v>
      </c>
      <c r="X86" s="156">
        <v>4</v>
      </c>
      <c r="Y86" s="157">
        <f>CEILING((IF(P86=AS_DEV_EFFORT, DEV_EFFORT*Q86%,
                           IF(P86=AS_DURATION_EFFORT, (MANUAL_DURATION*5)*Q86%,
                                    (IF(Q86&lt;=1,X86,
                                          IF(SUM(U86:W86)=0,(Q86*X86),
                                               (((Q86*U86)*(X86+(X86*EXTRA_FOR_H)))+
                                               ((Q86*V86)*X86)+
                                               ((Q86*W86)*(X86-(X86*LESS_FOR_L)))
                                    )*IF(R86=0,1,R86))))))+Z86), 0.25)</f>
        <v>4</v>
      </c>
      <c r="Z86" s="22"/>
      <c r="AA86" s="157">
        <f>Y86+Y86*VLOOKUP(I86,EXTRAS_ARRAY,2,FALSE)</f>
        <v>4</v>
      </c>
      <c r="AB86" s="20"/>
      <c r="AC86" s="34"/>
      <c r="AD86" s="23" t="str">
        <f>IF(J86&lt;&gt;"Yes",
IF(S86&lt;=0,"Error: Effort value is not defined or is invalid.",
IF(AND(SUM(U86:W86)&gt;0,SUM(U86:W86)&lt;&gt;1),"Error: Complexity % distribution should sum to 100%.",
IF(AND(P86=AS_DEV_EFFORT,X86&lt;&gt;0),"Error: PDs should not be defined when defining as dev effort %.",
IF(AND(P86=AS_DURATION_EFFORT,X86&lt;&gt;0),"Error: PDs should not be defined when defining as duration effort %.","")))))</f>
        <v/>
      </c>
    </row>
    <row r="87" spans="1:30" ht="15.5" customHeight="1" outlineLevel="2" x14ac:dyDescent="0.35">
      <c r="A87" s="86" t="s">
        <v>52</v>
      </c>
      <c r="B87" s="18"/>
      <c r="C87" s="78"/>
      <c r="D87" s="78"/>
      <c r="E87" s="78"/>
      <c r="F87" s="79"/>
      <c r="G87" s="19" t="s">
        <v>59</v>
      </c>
      <c r="H87" s="19" t="s">
        <v>60</v>
      </c>
      <c r="I87" s="20" t="s">
        <v>59</v>
      </c>
      <c r="J87" s="19" t="s">
        <v>59</v>
      </c>
      <c r="K87" s="35"/>
      <c r="L87" s="19"/>
      <c r="M87" s="263">
        <f ca="1">IFERROR(OFFSET(M87,-1,,1,1)+0.1,OFFSET(M87,-1,-1,1,1)&amp;".1")</f>
        <v>2.2000000000000002</v>
      </c>
      <c r="N87" s="20" t="s">
        <v>155</v>
      </c>
      <c r="O87" s="20" t="s">
        <v>156</v>
      </c>
      <c r="P87" s="20"/>
      <c r="Q87" s="134"/>
      <c r="R87" s="127"/>
      <c r="S87" s="157">
        <f>CEILING((IF(J87="Yes", 0, IF(H87="-",AA87,AA87+AA87*VLOOKUP(H87,BUFFERS_BY_TYPE,2,FALSE)))) +
   (IF(J87="Yes", 0, IF(H87="-",AA87,AA87+AA87*VLOOKUP(H87,BUFFERS_BY_TYPE,2,FALSE))))*VLOOKUP($S$5, SALES_CALL_SCALE_ARRAY, 2,FALSE),0.25)</f>
        <v>3.5</v>
      </c>
      <c r="T87" s="158"/>
      <c r="U87" s="21">
        <v>0</v>
      </c>
      <c r="V87" s="21">
        <v>1</v>
      </c>
      <c r="W87" s="21">
        <v>0</v>
      </c>
      <c r="X87" s="156">
        <v>3</v>
      </c>
      <c r="Y87" s="157">
        <f>CEILING((IF(P87=AS_DEV_EFFORT, DEV_EFFORT*Q87%,
                           IF(P87=AS_DURATION_EFFORT, (MANUAL_DURATION*5)*Q87%,
                                    (IF(Q87&lt;=1,X87,
                                          IF(SUM(U87:W87)=0,(Q87*X87),
                                               (((Q87*U87)*(X87+(X87*EXTRA_FOR_H)))+
                                               ((Q87*V87)*X87)+
                                               ((Q87*W87)*(X87-(X87*LESS_FOR_L)))
                                    )*IF(R87=0,1,R87))))))+Z87), 0.25)</f>
        <v>3</v>
      </c>
      <c r="Z87" s="22"/>
      <c r="AA87" s="157">
        <f>Y87+Y87*VLOOKUP(I87,EXTRAS_ARRAY,2,FALSE)</f>
        <v>3</v>
      </c>
      <c r="AB87" s="20"/>
      <c r="AC87" s="34"/>
      <c r="AD87" s="23" t="str">
        <f>IF(J87&lt;&gt;"Yes",
IF(S87&lt;=0,"Error: Effort value is not defined or is invalid.",
IF(AND(SUM(U87:W87)&gt;0,SUM(U87:W87)&lt;&gt;1),"Error: Complexity % distribution should sum to 100%.",
IF(AND(P87=AS_DEV_EFFORT,X87&lt;&gt;0),"Error: PDs should not be defined when defining as dev effort %.",
IF(AND(P87=AS_DURATION_EFFORT,X87&lt;&gt;0),"Error: PDs should not be defined when defining as duration effort %.","")))))</f>
        <v/>
      </c>
    </row>
    <row r="88" spans="1:30" ht="15.5" customHeight="1" outlineLevel="2" x14ac:dyDescent="0.35">
      <c r="A88" s="86" t="s">
        <v>52</v>
      </c>
      <c r="B88" s="18"/>
      <c r="C88" s="78"/>
      <c r="D88" s="78"/>
      <c r="E88" s="78"/>
      <c r="F88" s="79"/>
      <c r="G88" s="19" t="s">
        <v>59</v>
      </c>
      <c r="H88" s="19" t="s">
        <v>60</v>
      </c>
      <c r="I88" s="20" t="s">
        <v>59</v>
      </c>
      <c r="J88" s="19" t="s">
        <v>59</v>
      </c>
      <c r="K88" s="35"/>
      <c r="L88" s="19"/>
      <c r="M88" s="263">
        <f ca="1">IFERROR(OFFSET(M88,-1,,1,1)+0.1,OFFSET(M88,-1,-1,1,1)&amp;".1")</f>
        <v>2.3000000000000003</v>
      </c>
      <c r="N88" s="20" t="s">
        <v>157</v>
      </c>
      <c r="O88" s="20" t="s">
        <v>158</v>
      </c>
      <c r="P88" s="20"/>
      <c r="Q88" s="134"/>
      <c r="R88" s="127"/>
      <c r="S88" s="157">
        <f>CEILING((IF(J88="Yes", 0, IF(H88="-",AA88,AA88+AA88*VLOOKUP(H88,BUFFERS_BY_TYPE,2,FALSE)))) +
   (IF(J88="Yes", 0, IF(H88="-",AA88,AA88+AA88*VLOOKUP(H88,BUFFERS_BY_TYPE,2,FALSE))))*VLOOKUP($S$5, SALES_CALL_SCALE_ARRAY, 2,FALSE),0.25)</f>
        <v>4.5</v>
      </c>
      <c r="T88" s="158"/>
      <c r="U88" s="21">
        <v>0</v>
      </c>
      <c r="V88" s="21">
        <v>1</v>
      </c>
      <c r="W88" s="21">
        <v>0</v>
      </c>
      <c r="X88" s="156">
        <v>4</v>
      </c>
      <c r="Y88" s="157">
        <f>CEILING((IF(P88=AS_DEV_EFFORT, DEV_EFFORT*Q88%,
                           IF(P88=AS_DURATION_EFFORT, (MANUAL_DURATION*5)*Q88%,
                                    (IF(Q88&lt;=1,X88,
                                          IF(SUM(U88:W88)=0,(Q88*X88),
                                               (((Q88*U88)*(X88+(X88*EXTRA_FOR_H)))+
                                               ((Q88*V88)*X88)+
                                               ((Q88*W88)*(X88-(X88*LESS_FOR_L)))
                                    )*IF(R88=0,1,R88))))))+Z88), 0.25)</f>
        <v>4</v>
      </c>
      <c r="Z88" s="22"/>
      <c r="AA88" s="157">
        <f>Y88+Y88*VLOOKUP(I88,EXTRAS_ARRAY,2,FALSE)</f>
        <v>4</v>
      </c>
      <c r="AB88" s="20"/>
      <c r="AC88" s="34"/>
      <c r="AD88" s="23" t="str">
        <f>IF(J88&lt;&gt;"Yes",
IF(S88&lt;=0,"Error: Effort value is not defined or is invalid.",
IF(AND(SUM(U88:W88)&gt;0,SUM(U88:W88)&lt;&gt;1),"Error: Complexity % distribution should sum to 100%.",
IF(AND(P88=AS_DEV_EFFORT,X88&lt;&gt;0),"Error: PDs should not be defined when defining as dev effort %.",
IF(AND(P88=AS_DURATION_EFFORT,X88&lt;&gt;0),"Error: PDs should not be defined when defining as duration effort %.","")))))</f>
        <v/>
      </c>
    </row>
    <row r="89" spans="1:30" ht="15.5" customHeight="1" outlineLevel="2" x14ac:dyDescent="0.35">
      <c r="A89" s="86" t="s">
        <v>52</v>
      </c>
      <c r="B89" s="18"/>
      <c r="C89" s="78"/>
      <c r="D89" s="78"/>
      <c r="E89" s="78"/>
      <c r="F89" s="79"/>
      <c r="G89" s="19" t="s">
        <v>59</v>
      </c>
      <c r="H89" s="19" t="s">
        <v>66</v>
      </c>
      <c r="I89" s="20" t="s">
        <v>59</v>
      </c>
      <c r="J89" s="19" t="s">
        <v>59</v>
      </c>
      <c r="K89" s="35"/>
      <c r="L89" s="19"/>
      <c r="M89" s="263">
        <f ca="1">IFERROR(OFFSET(M89,-1,,1,1)+0.1,OFFSET(M89,-1,-1,1,1)&amp;".1")</f>
        <v>2.4000000000000004</v>
      </c>
      <c r="N89" s="20" t="s">
        <v>159</v>
      </c>
      <c r="O89" s="20" t="s">
        <v>160</v>
      </c>
      <c r="P89" s="20"/>
      <c r="Q89" s="134"/>
      <c r="R89" s="127"/>
      <c r="S89" s="157">
        <f>CEILING((IF(J89="Yes", 0, IF(H89="-",AA89,AA89+AA89*VLOOKUP(H89,BUFFERS_BY_TYPE,2,FALSE)))) +
   (IF(J89="Yes", 0, IF(H89="-",AA89,AA89+AA89*VLOOKUP(H89,BUFFERS_BY_TYPE,2,FALSE))))*VLOOKUP($S$5, SALES_CALL_SCALE_ARRAY, 2,FALSE),0.25)</f>
        <v>4.75</v>
      </c>
      <c r="T89" s="158"/>
      <c r="U89" s="21">
        <v>0.5</v>
      </c>
      <c r="V89" s="21">
        <v>0.5</v>
      </c>
      <c r="W89" s="21">
        <v>0</v>
      </c>
      <c r="X89" s="156">
        <v>4</v>
      </c>
      <c r="Y89" s="157">
        <f>CEILING((IF(P89=AS_DEV_EFFORT, DEV_EFFORT*Q89%,
                           IF(P89=AS_DURATION_EFFORT, (MANUAL_DURATION*5)*Q89%,
                                    (IF(Q89&lt;=1,X89,
                                          IF(SUM(U89:W89)=0,(Q89*X89),
                                               (((Q89*U89)*(X89+(X89*EXTRA_FOR_H)))+
                                               ((Q89*V89)*X89)+
                                               ((Q89*W89)*(X89-(X89*LESS_FOR_L)))
                                    )*IF(R89=0,1,R89))))))+Z89), 0.25)</f>
        <v>4</v>
      </c>
      <c r="Z89" s="22"/>
      <c r="AA89" s="157">
        <f>Y89+Y89*VLOOKUP(I89,EXTRAS_ARRAY,2,FALSE)</f>
        <v>4</v>
      </c>
      <c r="AB89" s="20"/>
      <c r="AC89" s="34"/>
      <c r="AD89" s="23" t="str">
        <f>IF(J89&lt;&gt;"Yes",
IF(S89&lt;=0,"Error: Effort value is not defined or is invalid.",
IF(AND(SUM(U89:W89)&gt;0,SUM(U89:W89)&lt;&gt;1),"Error: Complexity % distribution should sum to 100%.",
IF(AND(P89=AS_DEV_EFFORT,X89&lt;&gt;0),"Error: PDs should not be defined when defining as dev effort %.",
IF(AND(P89=AS_DURATION_EFFORT,X89&lt;&gt;0),"Error: PDs should not be defined when defining as duration effort %.","")))))</f>
        <v/>
      </c>
    </row>
    <row r="90" spans="1:30" s="9" customFormat="1" ht="7.5" customHeight="1" outlineLevel="2" x14ac:dyDescent="0.35">
      <c r="A90" s="86" t="s">
        <v>70</v>
      </c>
      <c r="B90" s="15"/>
      <c r="C90" s="72"/>
      <c r="D90" s="72"/>
      <c r="E90" s="72"/>
      <c r="F90" s="72"/>
      <c r="M90" s="252"/>
      <c r="T90" s="15"/>
      <c r="X90" s="15"/>
      <c r="AB90" s="10"/>
      <c r="AC90" s="10"/>
      <c r="AD90" s="10"/>
    </row>
    <row r="91" spans="1:30" s="14" customFormat="1" ht="15.5" customHeight="1" outlineLevel="1" x14ac:dyDescent="0.35">
      <c r="A91" s="86" t="s">
        <v>161</v>
      </c>
      <c r="B91" s="18"/>
      <c r="C91" s="77"/>
      <c r="D91" s="77"/>
      <c r="E91" s="77"/>
      <c r="F91" s="76"/>
      <c r="G91" s="170"/>
      <c r="H91" s="170"/>
      <c r="I91" s="170"/>
      <c r="J91" s="170"/>
      <c r="K91" s="170"/>
      <c r="L91" s="85" t="s">
        <v>23</v>
      </c>
      <c r="M91" s="296" t="s">
        <v>162</v>
      </c>
      <c r="N91" s="288"/>
      <c r="O91" s="80"/>
      <c r="P91" s="81"/>
      <c r="Q91" s="81"/>
      <c r="R91" s="81"/>
      <c r="S91" s="291">
        <f>SUMGROUP(ROW(), "T")</f>
        <v>36.75</v>
      </c>
      <c r="T91" s="292"/>
      <c r="U91" s="295"/>
      <c r="V91" s="288"/>
      <c r="W91" s="288"/>
      <c r="X91" s="82"/>
      <c r="Y91" s="83"/>
      <c r="Z91" s="83"/>
      <c r="AA91" s="83"/>
      <c r="AB91" s="221"/>
      <c r="AC91" s="84"/>
      <c r="AD91" s="23" t="str">
        <f>IF(M91="", "Error: Module name cannot be empty.", "")</f>
        <v/>
      </c>
    </row>
    <row r="92" spans="1:30" s="14" customFormat="1" ht="15.5" customHeight="1" outlineLevel="1" x14ac:dyDescent="0.35">
      <c r="A92" s="86" t="s">
        <v>55</v>
      </c>
      <c r="B92" s="18"/>
      <c r="C92" s="77"/>
      <c r="D92" s="77"/>
      <c r="E92" s="77"/>
      <c r="F92" s="76"/>
      <c r="G92" s="29"/>
      <c r="H92" s="29"/>
      <c r="I92" s="29"/>
      <c r="J92" s="29"/>
      <c r="K92" s="29"/>
      <c r="L92" s="17">
        <f ca="1">LOOKUP(1000,INDIRECT("L1:"&amp;CELL("address",INDIRECT("R[-1]C",FALSE))))+1</f>
        <v>3</v>
      </c>
      <c r="M92" s="287" t="s">
        <v>163</v>
      </c>
      <c r="N92" s="288"/>
      <c r="O92" s="5"/>
      <c r="P92" s="30"/>
      <c r="Q92" s="30"/>
      <c r="R92" s="30"/>
      <c r="S92" s="30"/>
      <c r="T92" s="155">
        <f>IF($S$6="Exclude", SUMIFS(S93:S95, J93:J95, "&lt;&gt;Yes", G93:G95, "&lt;&gt;Yes"), SUMIFS(S93:S95, J93:J95, "&lt;&gt;Yes"))</f>
        <v>9.25</v>
      </c>
      <c r="U92" s="30"/>
      <c r="V92" s="30"/>
      <c r="W92" s="30"/>
      <c r="X92" s="31"/>
      <c r="Y92" s="32"/>
      <c r="Z92" s="32"/>
      <c r="AA92" s="32"/>
      <c r="AB92" s="219"/>
      <c r="AC92" s="33"/>
      <c r="AD92" s="23" t="str">
        <f>IF(M92="", "Error: Task name cannot be empty.", "")</f>
        <v/>
      </c>
    </row>
    <row r="93" spans="1:30" s="12" customFormat="1" ht="1.5" customHeight="1" outlineLevel="2" x14ac:dyDescent="0.35">
      <c r="A93" s="86" t="s">
        <v>57</v>
      </c>
      <c r="B93" s="18"/>
      <c r="C93" s="77"/>
      <c r="D93" s="77"/>
      <c r="E93" s="77"/>
      <c r="F93" s="76"/>
      <c r="G93" s="29"/>
      <c r="H93" s="29"/>
      <c r="I93" s="29"/>
      <c r="J93" s="29"/>
      <c r="K93" s="29"/>
      <c r="L93" s="163">
        <f ca="1">L92</f>
        <v>3</v>
      </c>
      <c r="M93" s="164" t="s">
        <v>58</v>
      </c>
      <c r="N93" s="161"/>
      <c r="O93" s="162"/>
      <c r="P93" s="30"/>
      <c r="Q93" s="30"/>
      <c r="R93" s="30"/>
      <c r="S93" s="30"/>
      <c r="T93" s="155"/>
      <c r="U93" s="30"/>
      <c r="V93" s="30"/>
      <c r="W93" s="30"/>
      <c r="X93" s="31"/>
      <c r="Y93" s="32"/>
      <c r="Z93" s="32"/>
      <c r="AA93" s="32"/>
      <c r="AB93" s="33"/>
      <c r="AC93" s="33"/>
      <c r="AD93" s="23"/>
    </row>
    <row r="94" spans="1:30" ht="43.5" customHeight="1" outlineLevel="2" x14ac:dyDescent="0.35">
      <c r="A94" s="86" t="s">
        <v>52</v>
      </c>
      <c r="B94" s="18"/>
      <c r="C94" s="78"/>
      <c r="D94" s="78"/>
      <c r="E94" s="78"/>
      <c r="F94" s="79"/>
      <c r="G94" s="19" t="s">
        <v>59</v>
      </c>
      <c r="H94" s="19" t="s">
        <v>66</v>
      </c>
      <c r="I94" s="20" t="s">
        <v>59</v>
      </c>
      <c r="J94" s="19" t="s">
        <v>59</v>
      </c>
      <c r="K94" s="35"/>
      <c r="L94" s="19"/>
      <c r="M94" s="263" t="str">
        <f ca="1">IFERROR(OFFSET(M94,-1,,1,1)+0.1,OFFSET(M94,-1,-1,1,1)&amp;".1")</f>
        <v>3.1</v>
      </c>
      <c r="N94" s="20" t="s">
        <v>164</v>
      </c>
      <c r="O94" s="20" t="s">
        <v>165</v>
      </c>
      <c r="P94" s="20"/>
      <c r="Q94" s="134"/>
      <c r="R94" s="127"/>
      <c r="S94" s="157">
        <f>CEILING((IF(J94="Yes", 0, IF(H94="-",AA94,AA94+AA94*VLOOKUP(H94,BUFFERS_BY_TYPE,2,FALSE)))) +
   (IF(J94="Yes", 0, IF(H94="-",AA94,AA94+AA94*VLOOKUP(H94,BUFFERS_BY_TYPE,2,FALSE))))*VLOOKUP($S$5, SALES_CALL_SCALE_ARRAY, 2,FALSE),0.25)</f>
        <v>9.25</v>
      </c>
      <c r="T94" s="158"/>
      <c r="U94" s="21">
        <v>0.5</v>
      </c>
      <c r="V94" s="21">
        <v>0.5</v>
      </c>
      <c r="W94" s="21">
        <v>0</v>
      </c>
      <c r="X94" s="156">
        <v>8</v>
      </c>
      <c r="Y94" s="157">
        <f>CEILING((IF(P94=AS_DEV_EFFORT, DEV_EFFORT*Q94%,
                           IF(P94=AS_DURATION_EFFORT, (MANUAL_DURATION*5)*Q94%,
                                    (IF(Q94&lt;=1,X94,
                                          IF(SUM(U94:W94)=0,(Q94*X94),
                                               (((Q94*U94)*(X94+(X94*EXTRA_FOR_H)))+
                                               ((Q94*V94)*X94)+
                                               ((Q94*W94)*(X94-(X94*LESS_FOR_L)))
                                    )*IF(R94=0,1,R94))))))+Z94), 0.25)</f>
        <v>8</v>
      </c>
      <c r="Z94" s="22"/>
      <c r="AA94" s="157">
        <f>Y94+Y94*VLOOKUP(I94,EXTRAS_ARRAY,2,FALSE)</f>
        <v>8</v>
      </c>
      <c r="AB94" s="20"/>
      <c r="AC94" s="34"/>
      <c r="AD94" s="23" t="str">
        <f>IF(J94&lt;&gt;"Yes",
IF(S94&lt;=0,"Error: Effort value is not defined or is invalid.",
IF(AND(SUM(U94:W94)&gt;0,SUM(U94:W94)&lt;&gt;1),"Error: Complexity % distribution should sum to 100%.",
IF(AND(P94=AS_DEV_EFFORT,X94&lt;&gt;0),"Error: PDs should not be defined when defining as dev effort %.",
IF(AND(P94=AS_DURATION_EFFORT,X94&lt;&gt;0),"Error: PDs should not be defined when defining as duration effort %.","")))))</f>
        <v/>
      </c>
    </row>
    <row r="95" spans="1:30" s="9" customFormat="1" ht="7.5" customHeight="1" outlineLevel="2" x14ac:dyDescent="0.35">
      <c r="A95" s="86" t="s">
        <v>70</v>
      </c>
      <c r="B95" s="15"/>
      <c r="C95" s="72"/>
      <c r="D95" s="72"/>
      <c r="E95" s="72"/>
      <c r="F95" s="72"/>
      <c r="M95" s="252"/>
      <c r="T95" s="15"/>
      <c r="X95" s="15"/>
      <c r="AB95" s="10"/>
      <c r="AC95" s="10"/>
      <c r="AD95" s="10"/>
    </row>
    <row r="96" spans="1:30" s="14" customFormat="1" ht="15.5" customHeight="1" outlineLevel="1" x14ac:dyDescent="0.35">
      <c r="A96" s="86" t="s">
        <v>55</v>
      </c>
      <c r="B96" s="18"/>
      <c r="C96" s="77"/>
      <c r="D96" s="77"/>
      <c r="E96" s="77"/>
      <c r="F96" s="76"/>
      <c r="G96" s="29"/>
      <c r="H96" s="29"/>
      <c r="I96" s="29"/>
      <c r="J96" s="29"/>
      <c r="K96" s="29"/>
      <c r="L96" s="17">
        <f ca="1">LOOKUP(1000,INDIRECT("L1:"&amp;CELL("address",INDIRECT("R[-1]C",FALSE))))+1</f>
        <v>4</v>
      </c>
      <c r="M96" s="287" t="s">
        <v>166</v>
      </c>
      <c r="N96" s="288"/>
      <c r="O96" s="5"/>
      <c r="P96" s="30"/>
      <c r="Q96" s="30"/>
      <c r="R96" s="30"/>
      <c r="S96" s="30"/>
      <c r="T96" s="155">
        <f>IF($S$6="Exclude", SUMIFS(S97:S99, J97:J99, "&lt;&gt;Yes", G97:G99, "&lt;&gt;Yes"), SUMIFS(S97:S99, J97:J99, "&lt;&gt;Yes"))</f>
        <v>3.5</v>
      </c>
      <c r="U96" s="30"/>
      <c r="V96" s="30"/>
      <c r="W96" s="30"/>
      <c r="X96" s="31"/>
      <c r="Y96" s="32"/>
      <c r="Z96" s="32"/>
      <c r="AA96" s="32"/>
      <c r="AB96" s="219" t="s">
        <v>167</v>
      </c>
      <c r="AC96" s="33"/>
      <c r="AD96" s="23" t="str">
        <f>IF(M96="", "Error: Task name cannot be empty.", "")</f>
        <v/>
      </c>
    </row>
    <row r="97" spans="1:30" s="12" customFormat="1" ht="1.5" customHeight="1" outlineLevel="2" x14ac:dyDescent="0.35">
      <c r="A97" s="86" t="s">
        <v>57</v>
      </c>
      <c r="B97" s="18"/>
      <c r="C97" s="77"/>
      <c r="D97" s="77"/>
      <c r="E97" s="77"/>
      <c r="F97" s="76"/>
      <c r="G97" s="29"/>
      <c r="H97" s="29"/>
      <c r="I97" s="29"/>
      <c r="J97" s="29"/>
      <c r="K97" s="29"/>
      <c r="L97" s="163">
        <f ca="1">L96</f>
        <v>4</v>
      </c>
      <c r="M97" s="164" t="s">
        <v>58</v>
      </c>
      <c r="N97" s="161"/>
      <c r="O97" s="162"/>
      <c r="P97" s="30"/>
      <c r="Q97" s="30"/>
      <c r="R97" s="30"/>
      <c r="S97" s="30"/>
      <c r="T97" s="155"/>
      <c r="U97" s="30"/>
      <c r="V97" s="30"/>
      <c r="W97" s="30"/>
      <c r="X97" s="31"/>
      <c r="Y97" s="32"/>
      <c r="Z97" s="32"/>
      <c r="AA97" s="32"/>
      <c r="AB97" s="33"/>
      <c r="AC97" s="33"/>
      <c r="AD97" s="23"/>
    </row>
    <row r="98" spans="1:30" ht="29" customHeight="1" outlineLevel="2" x14ac:dyDescent="0.35">
      <c r="A98" s="86" t="s">
        <v>52</v>
      </c>
      <c r="B98" s="18"/>
      <c r="C98" s="78"/>
      <c r="D98" s="78"/>
      <c r="E98" s="78"/>
      <c r="F98" s="79"/>
      <c r="G98" s="19" t="s">
        <v>59</v>
      </c>
      <c r="H98" s="19" t="s">
        <v>60</v>
      </c>
      <c r="I98" s="20" t="s">
        <v>59</v>
      </c>
      <c r="J98" s="19" t="s">
        <v>59</v>
      </c>
      <c r="K98" s="35"/>
      <c r="L98" s="19"/>
      <c r="M98" s="263" t="str">
        <f ca="1">IFERROR(OFFSET(M98,-1,,1,1)+0.1,OFFSET(M98,-1,-1,1,1)&amp;".1")</f>
        <v>4.1</v>
      </c>
      <c r="N98" s="20" t="s">
        <v>168</v>
      </c>
      <c r="O98" s="20" t="s">
        <v>169</v>
      </c>
      <c r="P98" s="20"/>
      <c r="Q98" s="134"/>
      <c r="R98" s="127"/>
      <c r="S98" s="157">
        <f>CEILING((IF(J98="Yes", 0, IF(H98="-",AA98,AA98+AA98*VLOOKUP(H98,BUFFERS_BY_TYPE,2,FALSE)))) +
   (IF(J98="Yes", 0, IF(H98="-",AA98,AA98+AA98*VLOOKUP(H98,BUFFERS_BY_TYPE,2,FALSE))))*VLOOKUP($S$5, SALES_CALL_SCALE_ARRAY, 2,FALSE),0.25)</f>
        <v>3.5</v>
      </c>
      <c r="T98" s="158"/>
      <c r="U98" s="21">
        <v>0</v>
      </c>
      <c r="V98" s="21">
        <v>1</v>
      </c>
      <c r="W98" s="21">
        <v>0</v>
      </c>
      <c r="X98" s="156">
        <v>3</v>
      </c>
      <c r="Y98" s="157">
        <f>CEILING((IF(P98=AS_DEV_EFFORT, DEV_EFFORT*Q98%,
                           IF(P98=AS_DURATION_EFFORT, (MANUAL_DURATION*5)*Q98%,
                                    (IF(Q98&lt;=1,X98,
                                          IF(SUM(U98:W98)=0,(Q98*X98),
                                               (((Q98*U98)*(X98+(X98*EXTRA_FOR_H)))+
                                               ((Q98*V98)*X98)+
                                               ((Q98*W98)*(X98-(X98*LESS_FOR_L)))
                                    )*IF(R98=0,1,R98))))))+Z98), 0.25)</f>
        <v>3</v>
      </c>
      <c r="Z98" s="22"/>
      <c r="AA98" s="157">
        <f>Y98+Y98*VLOOKUP(I98,EXTRAS_ARRAY,2,FALSE)</f>
        <v>3</v>
      </c>
      <c r="AB98" s="20" t="s">
        <v>170</v>
      </c>
      <c r="AC98" s="34"/>
      <c r="AD98" s="23" t="str">
        <f>IF(J98&lt;&gt;"Yes",
IF(S98&lt;=0,"Error: Effort value is not defined or is invalid.",
IF(AND(SUM(U98:W98)&gt;0,SUM(U98:W98)&lt;&gt;1),"Error: Complexity % distribution should sum to 100%.",
IF(AND(P98=AS_DEV_EFFORT,X98&lt;&gt;0),"Error: PDs should not be defined when defining as dev effort %.",
IF(AND(P98=AS_DURATION_EFFORT,X98&lt;&gt;0),"Error: PDs should not be defined when defining as duration effort %.","")))))</f>
        <v/>
      </c>
    </row>
    <row r="99" spans="1:30" s="9" customFormat="1" ht="7.5" customHeight="1" outlineLevel="2" x14ac:dyDescent="0.35">
      <c r="A99" s="86" t="s">
        <v>70</v>
      </c>
      <c r="B99" s="15"/>
      <c r="C99" s="72"/>
      <c r="D99" s="72"/>
      <c r="E99" s="72"/>
      <c r="F99" s="72"/>
      <c r="M99" s="252"/>
      <c r="T99" s="15"/>
      <c r="X99" s="15"/>
      <c r="AB99" s="10"/>
      <c r="AC99" s="10"/>
      <c r="AD99" s="10"/>
    </row>
    <row r="100" spans="1:30" s="14" customFormat="1" ht="15.5" customHeight="1" outlineLevel="1" x14ac:dyDescent="0.35">
      <c r="A100" s="86" t="s">
        <v>55</v>
      </c>
      <c r="B100" s="18"/>
      <c r="C100" s="77"/>
      <c r="D100" s="77"/>
      <c r="E100" s="77"/>
      <c r="F100" s="76"/>
      <c r="G100" s="29"/>
      <c r="H100" s="29"/>
      <c r="I100" s="29"/>
      <c r="J100" s="29"/>
      <c r="K100" s="29"/>
      <c r="L100" s="17">
        <f ca="1">LOOKUP(1000,INDIRECT("L1:"&amp;CELL("address",INDIRECT("R[-1]C",FALSE))))+1</f>
        <v>5</v>
      </c>
      <c r="M100" s="287" t="s">
        <v>171</v>
      </c>
      <c r="N100" s="288"/>
      <c r="O100" s="5"/>
      <c r="P100" s="30"/>
      <c r="Q100" s="30"/>
      <c r="R100" s="30"/>
      <c r="S100" s="30"/>
      <c r="T100" s="155">
        <f>IF($S$6="Exclude", SUMIFS(S101:S103, J101:J103, "&lt;&gt;Yes", G101:G103, "&lt;&gt;Yes"), SUMIFS(S101:S103, J101:J103, "&lt;&gt;Yes"))</f>
        <v>11.5</v>
      </c>
      <c r="U100" s="30"/>
      <c r="V100" s="30"/>
      <c r="W100" s="30"/>
      <c r="X100" s="31"/>
      <c r="Y100" s="32"/>
      <c r="Z100" s="32"/>
      <c r="AA100" s="32"/>
      <c r="AB100" s="219" t="s">
        <v>167</v>
      </c>
      <c r="AC100" s="33"/>
      <c r="AD100" s="23" t="str">
        <f>IF(M100="", "Error: Task name cannot be empty.", "")</f>
        <v/>
      </c>
    </row>
    <row r="101" spans="1:30" s="12" customFormat="1" ht="1.5" customHeight="1" outlineLevel="2" x14ac:dyDescent="0.35">
      <c r="A101" s="86" t="s">
        <v>57</v>
      </c>
      <c r="B101" s="18"/>
      <c r="C101" s="77"/>
      <c r="D101" s="77"/>
      <c r="E101" s="77"/>
      <c r="F101" s="76"/>
      <c r="G101" s="29"/>
      <c r="H101" s="29"/>
      <c r="I101" s="29"/>
      <c r="J101" s="29"/>
      <c r="K101" s="29"/>
      <c r="L101" s="163">
        <f ca="1">L100</f>
        <v>5</v>
      </c>
      <c r="M101" s="164" t="s">
        <v>58</v>
      </c>
      <c r="N101" s="161"/>
      <c r="O101" s="162"/>
      <c r="P101" s="30"/>
      <c r="Q101" s="30"/>
      <c r="R101" s="30"/>
      <c r="S101" s="30"/>
      <c r="T101" s="155"/>
      <c r="U101" s="30"/>
      <c r="V101" s="30"/>
      <c r="W101" s="30"/>
      <c r="X101" s="31"/>
      <c r="Y101" s="32"/>
      <c r="Z101" s="32"/>
      <c r="AA101" s="32"/>
      <c r="AB101" s="33"/>
      <c r="AC101" s="33"/>
      <c r="AD101" s="23"/>
    </row>
    <row r="102" spans="1:30" ht="29" customHeight="1" outlineLevel="2" x14ac:dyDescent="0.35">
      <c r="A102" s="86" t="s">
        <v>52</v>
      </c>
      <c r="B102" s="18"/>
      <c r="C102" s="78"/>
      <c r="D102" s="78"/>
      <c r="E102" s="78"/>
      <c r="F102" s="79"/>
      <c r="G102" s="19" t="s">
        <v>59</v>
      </c>
      <c r="H102" s="19" t="s">
        <v>66</v>
      </c>
      <c r="I102" s="20" t="s">
        <v>59</v>
      </c>
      <c r="J102" s="19" t="s">
        <v>59</v>
      </c>
      <c r="K102" s="35"/>
      <c r="L102" s="19"/>
      <c r="M102" s="263" t="str">
        <f ca="1">IFERROR(OFFSET(M102,-1,,1,1)+0.1,OFFSET(M102,-1,-1,1,1)&amp;".1")</f>
        <v>5.1</v>
      </c>
      <c r="N102" s="20" t="s">
        <v>172</v>
      </c>
      <c r="O102" s="20" t="s">
        <v>173</v>
      </c>
      <c r="P102" s="20"/>
      <c r="Q102" s="134"/>
      <c r="R102" s="127"/>
      <c r="S102" s="157">
        <f>CEILING((IF(J102="Yes", 0, IF(H102="-",AA102,AA102+AA102*VLOOKUP(H102,BUFFERS_BY_TYPE,2,FALSE)))) +
   (IF(J102="Yes", 0, IF(H102="-",AA102,AA102+AA102*VLOOKUP(H102,BUFFERS_BY_TYPE,2,FALSE))))*VLOOKUP($S$5, SALES_CALL_SCALE_ARRAY, 2,FALSE),0.25)</f>
        <v>11.5</v>
      </c>
      <c r="T102" s="158"/>
      <c r="U102" s="21">
        <v>0</v>
      </c>
      <c r="V102" s="21">
        <v>1</v>
      </c>
      <c r="W102" s="21">
        <v>0</v>
      </c>
      <c r="X102" s="156">
        <v>10</v>
      </c>
      <c r="Y102" s="157">
        <f>CEILING((IF(P102=AS_DEV_EFFORT, DEV_EFFORT*Q102%,
                           IF(P102=AS_DURATION_EFFORT, (MANUAL_DURATION*5)*Q102%,
                                    (IF(Q102&lt;=1,X102,
                                          IF(SUM(U102:W102)=0,(Q102*X102),
                                               (((Q102*U102)*(X102+(X102*EXTRA_FOR_H)))+
                                               ((Q102*V102)*X102)+
                                               ((Q102*W102)*(X102-(X102*LESS_FOR_L)))
                                    )*IF(R102=0,1,R102))))))+Z102), 0.25)</f>
        <v>10</v>
      </c>
      <c r="Z102" s="22"/>
      <c r="AA102" s="157">
        <f>Y102+Y102*VLOOKUP(I102,EXTRAS_ARRAY,2,FALSE)</f>
        <v>10</v>
      </c>
      <c r="AB102" s="20" t="s">
        <v>174</v>
      </c>
      <c r="AC102" s="34"/>
      <c r="AD102" s="23" t="str">
        <f>IF(J102&lt;&gt;"Yes",
IF(S102&lt;=0,"Error: Effort value is not defined or is invalid.",
IF(AND(SUM(U102:W102)&gt;0,SUM(U102:W102)&lt;&gt;1),"Error: Complexity % distribution should sum to 100%.",
IF(AND(P102=AS_DEV_EFFORT,X102&lt;&gt;0),"Error: PDs should not be defined when defining as dev effort %.",
IF(AND(P102=AS_DURATION_EFFORT,X102&lt;&gt;0),"Error: PDs should not be defined when defining as duration effort %.","")))))</f>
        <v/>
      </c>
    </row>
    <row r="103" spans="1:30" s="9" customFormat="1" ht="7.5" customHeight="1" outlineLevel="2" x14ac:dyDescent="0.35">
      <c r="A103" s="86" t="s">
        <v>70</v>
      </c>
      <c r="B103" s="15"/>
      <c r="C103" s="72"/>
      <c r="D103" s="72"/>
      <c r="E103" s="72"/>
      <c r="F103" s="72"/>
      <c r="M103" s="252"/>
      <c r="T103" s="15"/>
      <c r="X103" s="15"/>
      <c r="AB103" s="10"/>
      <c r="AC103" s="10"/>
      <c r="AD103" s="10"/>
    </row>
    <row r="104" spans="1:30" s="14" customFormat="1" ht="15.5" customHeight="1" outlineLevel="1" x14ac:dyDescent="0.35">
      <c r="A104" s="86" t="s">
        <v>55</v>
      </c>
      <c r="B104" s="18"/>
      <c r="C104" s="77"/>
      <c r="D104" s="77"/>
      <c r="E104" s="77"/>
      <c r="F104" s="76"/>
      <c r="G104" s="29"/>
      <c r="H104" s="29"/>
      <c r="I104" s="29"/>
      <c r="J104" s="29"/>
      <c r="K104" s="29"/>
      <c r="L104" s="17">
        <f ca="1">LOOKUP(1000,INDIRECT("L1:"&amp;CELL("address",INDIRECT("R[-1]C",FALSE))))+1</f>
        <v>6</v>
      </c>
      <c r="M104" s="287" t="s">
        <v>175</v>
      </c>
      <c r="N104" s="288"/>
      <c r="O104" s="5"/>
      <c r="P104" s="30"/>
      <c r="Q104" s="30"/>
      <c r="R104" s="30"/>
      <c r="S104" s="30"/>
      <c r="T104" s="155">
        <f>IF($S$6="Exclude", SUMIFS(S105:S107, J105:J107, "&lt;&gt;Yes", G105:G107, "&lt;&gt;Yes"), SUMIFS(S105:S107, J105:J107, "&lt;&gt;Yes"))</f>
        <v>4.5</v>
      </c>
      <c r="U104" s="30"/>
      <c r="V104" s="30"/>
      <c r="W104" s="30"/>
      <c r="X104" s="31"/>
      <c r="Y104" s="32"/>
      <c r="Z104" s="32"/>
      <c r="AA104" s="32"/>
      <c r="AB104" s="219" t="s">
        <v>167</v>
      </c>
      <c r="AC104" s="33"/>
      <c r="AD104" s="23" t="str">
        <f>IF(M104="", "Error: Task name cannot be empty.", "")</f>
        <v/>
      </c>
    </row>
    <row r="105" spans="1:30" s="12" customFormat="1" ht="1.5" customHeight="1" outlineLevel="2" x14ac:dyDescent="0.35">
      <c r="A105" s="86" t="s">
        <v>57</v>
      </c>
      <c r="B105" s="18"/>
      <c r="C105" s="77"/>
      <c r="D105" s="77"/>
      <c r="E105" s="77"/>
      <c r="F105" s="76"/>
      <c r="G105" s="29"/>
      <c r="H105" s="29"/>
      <c r="I105" s="29"/>
      <c r="J105" s="29"/>
      <c r="K105" s="29"/>
      <c r="L105" s="163">
        <f ca="1">L104</f>
        <v>6</v>
      </c>
      <c r="M105" s="164" t="s">
        <v>58</v>
      </c>
      <c r="N105" s="161"/>
      <c r="O105" s="162"/>
      <c r="P105" s="30"/>
      <c r="Q105" s="30"/>
      <c r="R105" s="30"/>
      <c r="S105" s="30"/>
      <c r="T105" s="155"/>
      <c r="U105" s="30"/>
      <c r="V105" s="30"/>
      <c r="W105" s="30"/>
      <c r="X105" s="31"/>
      <c r="Y105" s="32"/>
      <c r="Z105" s="32"/>
      <c r="AA105" s="32"/>
      <c r="AB105" s="33"/>
      <c r="AC105" s="33"/>
      <c r="AD105" s="23"/>
    </row>
    <row r="106" spans="1:30" ht="43.5" customHeight="1" outlineLevel="2" x14ac:dyDescent="0.35">
      <c r="A106" s="86" t="s">
        <v>52</v>
      </c>
      <c r="B106" s="18"/>
      <c r="C106" s="78"/>
      <c r="D106" s="78"/>
      <c r="E106" s="78"/>
      <c r="F106" s="79"/>
      <c r="G106" s="19" t="s">
        <v>59</v>
      </c>
      <c r="H106" s="19" t="s">
        <v>60</v>
      </c>
      <c r="I106" s="20" t="s">
        <v>59</v>
      </c>
      <c r="J106" s="19" t="s">
        <v>59</v>
      </c>
      <c r="K106" s="35"/>
      <c r="L106" s="19"/>
      <c r="M106" s="263" t="str">
        <f ca="1">IFERROR(OFFSET(M106,-1,,1,1)+0.1,OFFSET(M106,-1,-1,1,1)&amp;".1")</f>
        <v>6.1</v>
      </c>
      <c r="N106" s="20" t="s">
        <v>176</v>
      </c>
      <c r="O106" s="20" t="s">
        <v>177</v>
      </c>
      <c r="P106" s="20"/>
      <c r="Q106" s="134"/>
      <c r="R106" s="127"/>
      <c r="S106" s="157">
        <f>CEILING((IF(J106="Yes", 0, IF(H106="-",AA106,AA106+AA106*VLOOKUP(H106,BUFFERS_BY_TYPE,2,FALSE)))) +
   (IF(J106="Yes", 0, IF(H106="-",AA106,AA106+AA106*VLOOKUP(H106,BUFFERS_BY_TYPE,2,FALSE))))*VLOOKUP($S$5, SALES_CALL_SCALE_ARRAY, 2,FALSE),0.25)</f>
        <v>4.5</v>
      </c>
      <c r="T106" s="158"/>
      <c r="U106" s="21">
        <v>0</v>
      </c>
      <c r="V106" s="21">
        <v>1</v>
      </c>
      <c r="W106" s="21">
        <v>0</v>
      </c>
      <c r="X106" s="156">
        <v>4</v>
      </c>
      <c r="Y106" s="157">
        <f>CEILING((IF(P106=AS_DEV_EFFORT, DEV_EFFORT*Q106%,
                           IF(P106=AS_DURATION_EFFORT, (MANUAL_DURATION*5)*Q106%,
                                    (IF(Q106&lt;=1,X106,
                                          IF(SUM(U106:W106)=0,(Q106*X106),
                                               (((Q106*U106)*(X106+(X106*EXTRA_FOR_H)))+
                                               ((Q106*V106)*X106)+
                                               ((Q106*W106)*(X106-(X106*LESS_FOR_L)))
                                    )*IF(R106=0,1,R106))))))+Z106), 0.25)</f>
        <v>4</v>
      </c>
      <c r="Z106" s="22"/>
      <c r="AA106" s="157">
        <f>Y106+Y106*VLOOKUP(I106,EXTRAS_ARRAY,2,FALSE)</f>
        <v>4</v>
      </c>
      <c r="AB106" s="20" t="s">
        <v>178</v>
      </c>
      <c r="AC106" s="34"/>
      <c r="AD106" s="23" t="str">
        <f>IF(J106&lt;&gt;"Yes",
IF(S106&lt;=0,"Error: Effort value is not defined or is invalid.",
IF(AND(SUM(U106:W106)&gt;0,SUM(U106:W106)&lt;&gt;1),"Error: Complexity % distribution should sum to 100%.",
IF(AND(P106=AS_DEV_EFFORT,X106&lt;&gt;0),"Error: PDs should not be defined when defining as dev effort %.",
IF(AND(P106=AS_DURATION_EFFORT,X106&lt;&gt;0),"Error: PDs should not be defined when defining as duration effort %.","")))))</f>
        <v/>
      </c>
    </row>
    <row r="107" spans="1:30" s="9" customFormat="1" ht="7.5" customHeight="1" outlineLevel="2" x14ac:dyDescent="0.35">
      <c r="A107" s="86" t="s">
        <v>70</v>
      </c>
      <c r="B107" s="15"/>
      <c r="C107" s="72"/>
      <c r="D107" s="72"/>
      <c r="E107" s="72"/>
      <c r="F107" s="72"/>
      <c r="M107" s="252"/>
      <c r="T107" s="15"/>
      <c r="X107" s="15"/>
      <c r="AB107" s="10"/>
      <c r="AC107" s="10"/>
      <c r="AD107" s="10"/>
    </row>
    <row r="108" spans="1:30" s="14" customFormat="1" ht="15.5" customHeight="1" outlineLevel="1" x14ac:dyDescent="0.35">
      <c r="A108" s="86" t="s">
        <v>55</v>
      </c>
      <c r="B108" s="18"/>
      <c r="C108" s="77"/>
      <c r="D108" s="77"/>
      <c r="E108" s="77"/>
      <c r="F108" s="76"/>
      <c r="G108" s="29"/>
      <c r="H108" s="29"/>
      <c r="I108" s="29"/>
      <c r="J108" s="29"/>
      <c r="K108" s="29"/>
      <c r="L108" s="17">
        <f ca="1">LOOKUP(1000,INDIRECT("L1:"&amp;CELL("address",INDIRECT("R[-1]C",FALSE))))+1</f>
        <v>7</v>
      </c>
      <c r="M108" s="287" t="s">
        <v>179</v>
      </c>
      <c r="N108" s="288"/>
      <c r="O108" s="5"/>
      <c r="P108" s="30"/>
      <c r="Q108" s="30"/>
      <c r="R108" s="30"/>
      <c r="S108" s="30"/>
      <c r="T108" s="155">
        <f>IF($S$6="Exclude", SUMIFS(S109:S111, J109:J111, "&lt;&gt;Yes", G109:G111, "&lt;&gt;Yes"), SUMIFS(S109:S111, J109:J111, "&lt;&gt;Yes"))</f>
        <v>4.5</v>
      </c>
      <c r="U108" s="30"/>
      <c r="V108" s="30"/>
      <c r="W108" s="30"/>
      <c r="X108" s="31"/>
      <c r="Y108" s="32"/>
      <c r="Z108" s="32"/>
      <c r="AA108" s="32"/>
      <c r="AB108" s="219" t="s">
        <v>167</v>
      </c>
      <c r="AC108" s="33"/>
      <c r="AD108" s="23" t="str">
        <f>IF(M108="", "Error: Task name cannot be empty.", "")</f>
        <v/>
      </c>
    </row>
    <row r="109" spans="1:30" s="12" customFormat="1" ht="1.5" customHeight="1" outlineLevel="2" x14ac:dyDescent="0.35">
      <c r="A109" s="86" t="s">
        <v>57</v>
      </c>
      <c r="B109" s="18"/>
      <c r="C109" s="77"/>
      <c r="D109" s="77"/>
      <c r="E109" s="77"/>
      <c r="F109" s="76"/>
      <c r="G109" s="29"/>
      <c r="H109" s="29"/>
      <c r="I109" s="29"/>
      <c r="J109" s="29"/>
      <c r="K109" s="29"/>
      <c r="L109" s="163">
        <f ca="1">L108</f>
        <v>7</v>
      </c>
      <c r="M109" s="164" t="s">
        <v>58</v>
      </c>
      <c r="N109" s="161"/>
      <c r="O109" s="162"/>
      <c r="P109" s="30"/>
      <c r="Q109" s="30"/>
      <c r="R109" s="30"/>
      <c r="S109" s="30"/>
      <c r="T109" s="155"/>
      <c r="U109" s="30"/>
      <c r="V109" s="30"/>
      <c r="W109" s="30"/>
      <c r="X109" s="31"/>
      <c r="Y109" s="32"/>
      <c r="Z109" s="32"/>
      <c r="AA109" s="32"/>
      <c r="AB109" s="33"/>
      <c r="AC109" s="33"/>
      <c r="AD109" s="23"/>
    </row>
    <row r="110" spans="1:30" ht="29" customHeight="1" outlineLevel="2" x14ac:dyDescent="0.35">
      <c r="A110" s="86" t="s">
        <v>52</v>
      </c>
      <c r="B110" s="18"/>
      <c r="C110" s="78"/>
      <c r="D110" s="78"/>
      <c r="E110" s="78"/>
      <c r="F110" s="79"/>
      <c r="G110" s="19" t="s">
        <v>59</v>
      </c>
      <c r="H110" s="19" t="s">
        <v>60</v>
      </c>
      <c r="I110" s="20" t="s">
        <v>59</v>
      </c>
      <c r="J110" s="19" t="s">
        <v>59</v>
      </c>
      <c r="K110" s="35"/>
      <c r="L110" s="19"/>
      <c r="M110" s="263" t="str">
        <f ca="1">IFERROR(OFFSET(M110,-1,,1,1)+0.1,OFFSET(M110,-1,-1,1,1)&amp;".1")</f>
        <v>7.1</v>
      </c>
      <c r="N110" s="20" t="s">
        <v>180</v>
      </c>
      <c r="O110" s="20" t="s">
        <v>181</v>
      </c>
      <c r="P110" s="20"/>
      <c r="Q110" s="134"/>
      <c r="R110" s="127"/>
      <c r="S110" s="157">
        <f>CEILING((IF(J110="Yes", 0, IF(H110="-",AA110,AA110+AA110*VLOOKUP(H110,BUFFERS_BY_TYPE,2,FALSE)))) +
   (IF(J110="Yes", 0, IF(H110="-",AA110,AA110+AA110*VLOOKUP(H110,BUFFERS_BY_TYPE,2,FALSE))))*VLOOKUP($S$5, SALES_CALL_SCALE_ARRAY, 2,FALSE),0.25)</f>
        <v>4.5</v>
      </c>
      <c r="T110" s="158"/>
      <c r="U110" s="21">
        <v>0</v>
      </c>
      <c r="V110" s="21">
        <v>1</v>
      </c>
      <c r="W110" s="21">
        <v>0</v>
      </c>
      <c r="X110" s="156">
        <v>4</v>
      </c>
      <c r="Y110" s="157">
        <f>CEILING((IF(P110=AS_DEV_EFFORT, DEV_EFFORT*Q110%,
                           IF(P110=AS_DURATION_EFFORT, (MANUAL_DURATION*5)*Q110%,
                                    (IF(Q110&lt;=1,X110,
                                          IF(SUM(U110:W110)=0,(Q110*X110),
                                               (((Q110*U110)*(X110+(X110*EXTRA_FOR_H)))+
                                               ((Q110*V110)*X110)+
                                               ((Q110*W110)*(X110-(X110*LESS_FOR_L)))
                                    )*IF(R110=0,1,R110))))))+Z110), 0.25)</f>
        <v>4</v>
      </c>
      <c r="Z110" s="22"/>
      <c r="AA110" s="157">
        <f>Y110+Y110*VLOOKUP(I110,EXTRAS_ARRAY,2,FALSE)</f>
        <v>4</v>
      </c>
      <c r="AB110" s="20" t="s">
        <v>182</v>
      </c>
      <c r="AC110" s="34"/>
      <c r="AD110" s="23" t="str">
        <f>IF(J110&lt;&gt;"Yes",
IF(S110&lt;=0,"Error: Effort value is not defined or is invalid.",
IF(AND(SUM(U110:W110)&gt;0,SUM(U110:W110)&lt;&gt;1),"Error: Complexity % distribution should sum to 100%.",
IF(AND(P110=AS_DEV_EFFORT,X110&lt;&gt;0),"Error: PDs should not be defined when defining as dev effort %.",
IF(AND(P110=AS_DURATION_EFFORT,X110&lt;&gt;0),"Error: PDs should not be defined when defining as duration effort %.","")))))</f>
        <v/>
      </c>
    </row>
    <row r="111" spans="1:30" s="9" customFormat="1" ht="7.5" customHeight="1" outlineLevel="2" x14ac:dyDescent="0.35">
      <c r="A111" s="86" t="s">
        <v>70</v>
      </c>
      <c r="B111" s="15"/>
      <c r="C111" s="72"/>
      <c r="D111" s="72"/>
      <c r="E111" s="72"/>
      <c r="F111" s="72"/>
      <c r="M111" s="252"/>
      <c r="T111" s="15"/>
      <c r="X111" s="15"/>
      <c r="AB111" s="10"/>
      <c r="AC111" s="10"/>
      <c r="AD111" s="10"/>
    </row>
    <row r="112" spans="1:30" s="14" customFormat="1" ht="15.5" customHeight="1" outlineLevel="1" x14ac:dyDescent="0.35">
      <c r="A112" s="86" t="s">
        <v>55</v>
      </c>
      <c r="B112" s="18"/>
      <c r="C112" s="77"/>
      <c r="D112" s="77"/>
      <c r="E112" s="77"/>
      <c r="F112" s="76"/>
      <c r="G112" s="29"/>
      <c r="H112" s="29"/>
      <c r="I112" s="29"/>
      <c r="J112" s="29"/>
      <c r="K112" s="29"/>
      <c r="L112" s="17">
        <f ca="1">LOOKUP(1000,INDIRECT("L1:"&amp;CELL("address",INDIRECT("R[-1]C",FALSE))))+1</f>
        <v>8</v>
      </c>
      <c r="M112" s="287" t="s">
        <v>183</v>
      </c>
      <c r="N112" s="288"/>
      <c r="O112" s="5"/>
      <c r="P112" s="30"/>
      <c r="Q112" s="30"/>
      <c r="R112" s="30"/>
      <c r="S112" s="30"/>
      <c r="T112" s="155">
        <f>IF($S$6="Exclude", SUMIFS(S113:S115, J113:J115, "&lt;&gt;Yes", G113:G115, "&lt;&gt;Yes"), SUMIFS(S113:S115, J113:J115, "&lt;&gt;Yes"))</f>
        <v>3.5</v>
      </c>
      <c r="U112" s="30"/>
      <c r="V112" s="30"/>
      <c r="W112" s="30"/>
      <c r="X112" s="31"/>
      <c r="Y112" s="32"/>
      <c r="Z112" s="32"/>
      <c r="AA112" s="32"/>
      <c r="AB112" s="219" t="s">
        <v>167</v>
      </c>
      <c r="AC112" s="33"/>
      <c r="AD112" s="23" t="str">
        <f>IF(M112="", "Error: Task name cannot be empty.", "")</f>
        <v/>
      </c>
    </row>
    <row r="113" spans="1:30" s="12" customFormat="1" ht="1.5" customHeight="1" outlineLevel="2" x14ac:dyDescent="0.35">
      <c r="A113" s="86" t="s">
        <v>57</v>
      </c>
      <c r="B113" s="18"/>
      <c r="C113" s="77"/>
      <c r="D113" s="77"/>
      <c r="E113" s="77"/>
      <c r="F113" s="76"/>
      <c r="G113" s="29"/>
      <c r="H113" s="29"/>
      <c r="I113" s="29"/>
      <c r="J113" s="29"/>
      <c r="K113" s="29"/>
      <c r="L113" s="163">
        <f ca="1">L112</f>
        <v>8</v>
      </c>
      <c r="M113" s="164" t="s">
        <v>58</v>
      </c>
      <c r="N113" s="161"/>
      <c r="O113" s="162"/>
      <c r="P113" s="30"/>
      <c r="Q113" s="30"/>
      <c r="R113" s="30"/>
      <c r="S113" s="30"/>
      <c r="T113" s="155"/>
      <c r="U113" s="30"/>
      <c r="V113" s="30"/>
      <c r="W113" s="30"/>
      <c r="X113" s="31"/>
      <c r="Y113" s="32"/>
      <c r="Z113" s="32"/>
      <c r="AA113" s="32"/>
      <c r="AB113" s="33"/>
      <c r="AC113" s="33"/>
      <c r="AD113" s="23"/>
    </row>
    <row r="114" spans="1:30" ht="29" customHeight="1" outlineLevel="2" x14ac:dyDescent="0.35">
      <c r="A114" s="86" t="s">
        <v>52</v>
      </c>
      <c r="B114" s="18"/>
      <c r="C114" s="78"/>
      <c r="D114" s="78"/>
      <c r="E114" s="78"/>
      <c r="F114" s="79"/>
      <c r="G114" s="19" t="s">
        <v>59</v>
      </c>
      <c r="H114" s="19" t="s">
        <v>60</v>
      </c>
      <c r="I114" s="20" t="s">
        <v>59</v>
      </c>
      <c r="J114" s="19" t="s">
        <v>59</v>
      </c>
      <c r="K114" s="35"/>
      <c r="L114" s="19"/>
      <c r="M114" s="263" t="str">
        <f ca="1">IFERROR(OFFSET(M114,-1,,1,1)+0.1,OFFSET(M114,-1,-1,1,1)&amp;".1")</f>
        <v>8.1</v>
      </c>
      <c r="N114" s="20" t="s">
        <v>184</v>
      </c>
      <c r="O114" s="20" t="s">
        <v>185</v>
      </c>
      <c r="P114" s="20"/>
      <c r="Q114" s="134"/>
      <c r="R114" s="127"/>
      <c r="S114" s="157">
        <f>CEILING((IF(J114="Yes", 0, IF(H114="-",AA114,AA114+AA114*VLOOKUP(H114,BUFFERS_BY_TYPE,2,FALSE)))) +
   (IF(J114="Yes", 0, IF(H114="-",AA114,AA114+AA114*VLOOKUP(H114,BUFFERS_BY_TYPE,2,FALSE))))*VLOOKUP($S$5, SALES_CALL_SCALE_ARRAY, 2,FALSE),0.25)</f>
        <v>3.5</v>
      </c>
      <c r="T114" s="158"/>
      <c r="U114" s="21">
        <v>0</v>
      </c>
      <c r="V114" s="21">
        <v>1</v>
      </c>
      <c r="W114" s="21">
        <v>0</v>
      </c>
      <c r="X114" s="156">
        <v>3</v>
      </c>
      <c r="Y114" s="157">
        <f>CEILING((IF(P114=AS_DEV_EFFORT, DEV_EFFORT*Q114%,
                           IF(P114=AS_DURATION_EFFORT, (MANUAL_DURATION*5)*Q114%,
                                    (IF(Q114&lt;=1,X114,
                                          IF(SUM(U114:W114)=0,(Q114*X114),
                                               (((Q114*U114)*(X114+(X114*EXTRA_FOR_H)))+
                                               ((Q114*V114)*X114)+
                                               ((Q114*W114)*(X114-(X114*LESS_FOR_L)))
                                    )*IF(R114=0,1,R114))))))+Z114), 0.25)</f>
        <v>3</v>
      </c>
      <c r="Z114" s="22"/>
      <c r="AA114" s="157">
        <f>Y114+Y114*VLOOKUP(I114,EXTRAS_ARRAY,2,FALSE)</f>
        <v>3</v>
      </c>
      <c r="AB114" s="20" t="s">
        <v>186</v>
      </c>
      <c r="AC114" s="34"/>
      <c r="AD114" s="23" t="str">
        <f>IF(J114&lt;&gt;"Yes",
IF(S114&lt;=0,"Error: Effort value is not defined or is invalid.",
IF(AND(SUM(U114:W114)&gt;0,SUM(U114:W114)&lt;&gt;1),"Error: Complexity % distribution should sum to 100%.",
IF(AND(P114=AS_DEV_EFFORT,X114&lt;&gt;0),"Error: PDs should not be defined when defining as dev effort %.",
IF(AND(P114=AS_DURATION_EFFORT,X114&lt;&gt;0),"Error: PDs should not be defined when defining as duration effort %.","")))))</f>
        <v/>
      </c>
    </row>
    <row r="115" spans="1:30" s="9" customFormat="1" ht="7.5" customHeight="1" outlineLevel="2" x14ac:dyDescent="0.35">
      <c r="A115" s="86" t="s">
        <v>70</v>
      </c>
      <c r="B115" s="15"/>
      <c r="C115" s="72"/>
      <c r="D115" s="72"/>
      <c r="E115" s="72"/>
      <c r="F115" s="72"/>
      <c r="M115" s="252"/>
      <c r="T115" s="15"/>
      <c r="X115" s="15"/>
      <c r="AB115" s="10"/>
      <c r="AC115" s="10"/>
      <c r="AD115" s="10"/>
    </row>
    <row r="116" spans="1:30" s="14" customFormat="1" ht="15.5" customHeight="1" outlineLevel="1" x14ac:dyDescent="0.35">
      <c r="A116" s="86" t="s">
        <v>161</v>
      </c>
      <c r="B116" s="18"/>
      <c r="C116" s="77"/>
      <c r="D116" s="77"/>
      <c r="E116" s="77"/>
      <c r="F116" s="76"/>
      <c r="G116" s="170"/>
      <c r="H116" s="170"/>
      <c r="I116" s="170"/>
      <c r="J116" s="170"/>
      <c r="K116" s="170"/>
      <c r="L116" s="85" t="s">
        <v>23</v>
      </c>
      <c r="M116" s="296" t="s">
        <v>187</v>
      </c>
      <c r="N116" s="288"/>
      <c r="O116" s="80"/>
      <c r="P116" s="81"/>
      <c r="Q116" s="81"/>
      <c r="R116" s="81"/>
      <c r="S116" s="291">
        <f>SUMGROUP(ROW(), "T")</f>
        <v>37.5</v>
      </c>
      <c r="T116" s="292"/>
      <c r="U116" s="295"/>
      <c r="V116" s="288"/>
      <c r="W116" s="288"/>
      <c r="X116" s="82"/>
      <c r="Y116" s="83"/>
      <c r="Z116" s="83"/>
      <c r="AA116" s="83"/>
      <c r="AB116" s="221"/>
      <c r="AC116" s="84"/>
      <c r="AD116" s="23" t="str">
        <f>IF(M116="", "Error: Module name cannot be empty.", "")</f>
        <v/>
      </c>
    </row>
    <row r="117" spans="1:30" s="14" customFormat="1" ht="15.5" customHeight="1" outlineLevel="1" x14ac:dyDescent="0.35">
      <c r="A117" s="86" t="s">
        <v>55</v>
      </c>
      <c r="B117" s="18"/>
      <c r="C117" s="77"/>
      <c r="D117" s="77"/>
      <c r="E117" s="77"/>
      <c r="F117" s="76"/>
      <c r="G117" s="29"/>
      <c r="H117" s="29"/>
      <c r="I117" s="29"/>
      <c r="J117" s="29"/>
      <c r="K117" s="29"/>
      <c r="L117" s="17">
        <f ca="1">LOOKUP(1000,INDIRECT("L1:"&amp;CELL("address",INDIRECT("R[-1]C",FALSE))))+1</f>
        <v>9</v>
      </c>
      <c r="M117" s="287" t="s">
        <v>163</v>
      </c>
      <c r="N117" s="288"/>
      <c r="O117" s="5"/>
      <c r="P117" s="30"/>
      <c r="Q117" s="30"/>
      <c r="R117" s="30"/>
      <c r="S117" s="30"/>
      <c r="T117" s="155">
        <f>IF($S$6="Exclude", SUMIFS(S118:S120, J118:J120, "&lt;&gt;Yes", G118:G120, "&lt;&gt;Yes"), SUMIFS(S118:S120, J118:J120, "&lt;&gt;Yes"))</f>
        <v>7</v>
      </c>
      <c r="U117" s="30"/>
      <c r="V117" s="30"/>
      <c r="W117" s="30"/>
      <c r="X117" s="31"/>
      <c r="Y117" s="32"/>
      <c r="Z117" s="32"/>
      <c r="AA117" s="32"/>
      <c r="AB117" s="219" t="s">
        <v>167</v>
      </c>
      <c r="AC117" s="33"/>
      <c r="AD117" s="23" t="str">
        <f>IF(M117="", "Error: Task name cannot be empty.", "")</f>
        <v/>
      </c>
    </row>
    <row r="118" spans="1:30" s="12" customFormat="1" ht="1.5" customHeight="1" outlineLevel="2" x14ac:dyDescent="0.35">
      <c r="A118" s="86" t="s">
        <v>57</v>
      </c>
      <c r="B118" s="18"/>
      <c r="C118" s="77"/>
      <c r="D118" s="77"/>
      <c r="E118" s="77"/>
      <c r="F118" s="76"/>
      <c r="G118" s="29"/>
      <c r="H118" s="29"/>
      <c r="I118" s="29"/>
      <c r="J118" s="29"/>
      <c r="K118" s="29"/>
      <c r="L118" s="163">
        <f ca="1">L117</f>
        <v>9</v>
      </c>
      <c r="M118" s="164" t="s">
        <v>58</v>
      </c>
      <c r="N118" s="161"/>
      <c r="O118" s="162"/>
      <c r="P118" s="30"/>
      <c r="Q118" s="30"/>
      <c r="R118" s="30"/>
      <c r="S118" s="30"/>
      <c r="T118" s="155"/>
      <c r="U118" s="30"/>
      <c r="V118" s="30"/>
      <c r="W118" s="30"/>
      <c r="X118" s="31"/>
      <c r="Y118" s="32"/>
      <c r="Z118" s="32"/>
      <c r="AA118" s="32"/>
      <c r="AB118" s="33"/>
      <c r="AC118" s="33"/>
      <c r="AD118" s="23"/>
    </row>
    <row r="119" spans="1:30" ht="72.5" customHeight="1" outlineLevel="2" x14ac:dyDescent="0.35">
      <c r="A119" s="86" t="s">
        <v>52</v>
      </c>
      <c r="B119" s="18"/>
      <c r="C119" s="78"/>
      <c r="D119" s="78"/>
      <c r="E119" s="78"/>
      <c r="F119" s="79"/>
      <c r="G119" s="19" t="s">
        <v>59</v>
      </c>
      <c r="H119" s="19" t="s">
        <v>66</v>
      </c>
      <c r="I119" s="20" t="s">
        <v>59</v>
      </c>
      <c r="J119" s="19" t="s">
        <v>59</v>
      </c>
      <c r="K119" s="35"/>
      <c r="L119" s="19"/>
      <c r="M119" s="263" t="str">
        <f ca="1">IFERROR(OFFSET(M119,-1,,1,1)+0.1,OFFSET(M119,-1,-1,1,1)&amp;".1")</f>
        <v>9.1</v>
      </c>
      <c r="N119" s="20" t="s">
        <v>188</v>
      </c>
      <c r="O119" s="20" t="s">
        <v>189</v>
      </c>
      <c r="P119" s="20"/>
      <c r="Q119" s="134"/>
      <c r="R119" s="127"/>
      <c r="S119" s="157">
        <f>CEILING((IF(J119="Yes", 0, IF(H119="-",AA119,AA119+AA119*VLOOKUP(H119,BUFFERS_BY_TYPE,2,FALSE)))) +
   (IF(J119="Yes", 0, IF(H119="-",AA119,AA119+AA119*VLOOKUP(H119,BUFFERS_BY_TYPE,2,FALSE))))*VLOOKUP($S$5, SALES_CALL_SCALE_ARRAY, 2,FALSE),0.25)</f>
        <v>7</v>
      </c>
      <c r="T119" s="158"/>
      <c r="U119" s="21">
        <v>0</v>
      </c>
      <c r="V119" s="21">
        <v>1</v>
      </c>
      <c r="W119" s="21">
        <v>0</v>
      </c>
      <c r="X119" s="156">
        <v>6</v>
      </c>
      <c r="Y119" s="157">
        <f>CEILING((IF(P119=AS_DEV_EFFORT, DEV_EFFORT*Q119%,
                           IF(P119=AS_DURATION_EFFORT, (MANUAL_DURATION*5)*Q119%,
                                    (IF(Q119&lt;=1,X119,
                                          IF(SUM(U119:W119)=0,(Q119*X119),
                                               (((Q119*U119)*(X119+(X119*EXTRA_FOR_H)))+
                                               ((Q119*V119)*X119)+
                                               ((Q119*W119)*(X119-(X119*LESS_FOR_L)))
                                    )*IF(R119=0,1,R119))))))+Z119), 0.25)</f>
        <v>6</v>
      </c>
      <c r="Z119" s="22"/>
      <c r="AA119" s="157">
        <f>Y119+Y119*VLOOKUP(I119,EXTRAS_ARRAY,2,FALSE)</f>
        <v>6</v>
      </c>
      <c r="AB119" s="20" t="s">
        <v>190</v>
      </c>
      <c r="AC119" s="34"/>
      <c r="AD119" s="23" t="str">
        <f>IF(J119&lt;&gt;"Yes",
IF(S119&lt;=0,"Error: Effort value is not defined or is invalid.",
IF(AND(SUM(U119:W119)&gt;0,SUM(U119:W119)&lt;&gt;1),"Error: Complexity % distribution should sum to 100%.",
IF(AND(P119=AS_DEV_EFFORT,X119&lt;&gt;0),"Error: PDs should not be defined when defining as dev effort %.",
IF(AND(P119=AS_DURATION_EFFORT,X119&lt;&gt;0),"Error: PDs should not be defined when defining as duration effort %.","")))))</f>
        <v/>
      </c>
    </row>
    <row r="120" spans="1:30" s="9" customFormat="1" ht="7.5" customHeight="1" outlineLevel="2" x14ac:dyDescent="0.35">
      <c r="A120" s="86" t="s">
        <v>70</v>
      </c>
      <c r="B120" s="15"/>
      <c r="C120" s="72"/>
      <c r="D120" s="72"/>
      <c r="E120" s="72"/>
      <c r="F120" s="72"/>
      <c r="M120" s="252"/>
      <c r="T120" s="15"/>
      <c r="X120" s="15"/>
      <c r="AB120" s="10"/>
      <c r="AC120" s="10"/>
      <c r="AD120" s="10"/>
    </row>
    <row r="121" spans="1:30" s="14" customFormat="1" ht="15.5" customHeight="1" outlineLevel="1" x14ac:dyDescent="0.35">
      <c r="A121" s="86" t="s">
        <v>55</v>
      </c>
      <c r="B121" s="18"/>
      <c r="C121" s="77"/>
      <c r="D121" s="77"/>
      <c r="E121" s="77"/>
      <c r="F121" s="76"/>
      <c r="G121" s="29"/>
      <c r="H121" s="29"/>
      <c r="I121" s="29"/>
      <c r="J121" s="29"/>
      <c r="K121" s="29"/>
      <c r="L121" s="17">
        <f ca="1">LOOKUP(1000,INDIRECT("L1:"&amp;CELL("address",INDIRECT("R[-1]C",FALSE))))+1</f>
        <v>10</v>
      </c>
      <c r="M121" s="287" t="s">
        <v>166</v>
      </c>
      <c r="N121" s="288"/>
      <c r="O121" s="5"/>
      <c r="P121" s="30"/>
      <c r="Q121" s="30"/>
      <c r="R121" s="30"/>
      <c r="S121" s="30"/>
      <c r="T121" s="155">
        <f>IF($S$6="Exclude", SUMIFS(S122:S124, J122:J124, "&lt;&gt;Yes", G122:G124, "&lt;&gt;Yes"), SUMIFS(S122:S124, J122:J124, "&lt;&gt;Yes"))</f>
        <v>3.5</v>
      </c>
      <c r="U121" s="30"/>
      <c r="V121" s="30"/>
      <c r="W121" s="30"/>
      <c r="X121" s="31"/>
      <c r="Y121" s="32"/>
      <c r="Z121" s="32"/>
      <c r="AA121" s="32"/>
      <c r="AB121" s="219" t="s">
        <v>167</v>
      </c>
      <c r="AC121" s="33"/>
      <c r="AD121" s="23" t="str">
        <f>IF(M121="", "Error: Task name cannot be empty.", "")</f>
        <v/>
      </c>
    </row>
    <row r="122" spans="1:30" s="12" customFormat="1" ht="1.5" customHeight="1" outlineLevel="2" x14ac:dyDescent="0.35">
      <c r="A122" s="86" t="s">
        <v>57</v>
      </c>
      <c r="B122" s="18"/>
      <c r="C122" s="77"/>
      <c r="D122" s="77"/>
      <c r="E122" s="77"/>
      <c r="F122" s="76"/>
      <c r="G122" s="29"/>
      <c r="H122" s="29"/>
      <c r="I122" s="29"/>
      <c r="J122" s="29"/>
      <c r="K122" s="29"/>
      <c r="L122" s="163">
        <f ca="1">L121</f>
        <v>10</v>
      </c>
      <c r="M122" s="164" t="s">
        <v>58</v>
      </c>
      <c r="N122" s="161"/>
      <c r="O122" s="162"/>
      <c r="P122" s="30"/>
      <c r="Q122" s="30"/>
      <c r="R122" s="30"/>
      <c r="S122" s="30"/>
      <c r="T122" s="155"/>
      <c r="U122" s="30"/>
      <c r="V122" s="30"/>
      <c r="W122" s="30"/>
      <c r="X122" s="31"/>
      <c r="Y122" s="32"/>
      <c r="Z122" s="32"/>
      <c r="AA122" s="32"/>
      <c r="AB122" s="33"/>
      <c r="AC122" s="33"/>
      <c r="AD122" s="23"/>
    </row>
    <row r="123" spans="1:30" ht="58" customHeight="1" outlineLevel="2" x14ac:dyDescent="0.35">
      <c r="A123" s="86" t="s">
        <v>52</v>
      </c>
      <c r="B123" s="18"/>
      <c r="C123" s="78"/>
      <c r="D123" s="78"/>
      <c r="E123" s="78"/>
      <c r="F123" s="79"/>
      <c r="G123" s="19" t="s">
        <v>59</v>
      </c>
      <c r="H123" s="19" t="s">
        <v>60</v>
      </c>
      <c r="I123" s="20" t="s">
        <v>59</v>
      </c>
      <c r="J123" s="19" t="s">
        <v>59</v>
      </c>
      <c r="K123" s="35"/>
      <c r="L123" s="19"/>
      <c r="M123" s="263" t="str">
        <f ca="1">IFERROR(OFFSET(M123,-1,,1,1)+0.1,OFFSET(M123,-1,-1,1,1)&amp;".1")</f>
        <v>10.1</v>
      </c>
      <c r="N123" s="20" t="s">
        <v>191</v>
      </c>
      <c r="O123" s="20" t="s">
        <v>192</v>
      </c>
      <c r="P123" s="20"/>
      <c r="Q123" s="134"/>
      <c r="R123" s="127"/>
      <c r="S123" s="157">
        <f>CEILING((IF(J123="Yes", 0, IF(H123="-",AA123,AA123+AA123*VLOOKUP(H123,BUFFERS_BY_TYPE,2,FALSE)))) +
   (IF(J123="Yes", 0, IF(H123="-",AA123,AA123+AA123*VLOOKUP(H123,BUFFERS_BY_TYPE,2,FALSE))))*VLOOKUP($S$5, SALES_CALL_SCALE_ARRAY, 2,FALSE),0.25)</f>
        <v>3.5</v>
      </c>
      <c r="T123" s="158"/>
      <c r="U123" s="21">
        <v>0</v>
      </c>
      <c r="V123" s="21">
        <v>1</v>
      </c>
      <c r="W123" s="21">
        <v>0</v>
      </c>
      <c r="X123" s="156">
        <v>3</v>
      </c>
      <c r="Y123" s="157">
        <f>CEILING((IF(P123=AS_DEV_EFFORT, DEV_EFFORT*Q123%,
                           IF(P123=AS_DURATION_EFFORT, (MANUAL_DURATION*5)*Q123%,
                                    (IF(Q123&lt;=1,X123,
                                          IF(SUM(U123:W123)=0,(Q123*X123),
                                               (((Q123*U123)*(X123+(X123*EXTRA_FOR_H)))+
                                               ((Q123*V123)*X123)+
                                               ((Q123*W123)*(X123-(X123*LESS_FOR_L)))
                                    )*IF(R123=0,1,R123))))))+Z123), 0.25)</f>
        <v>3</v>
      </c>
      <c r="Z123" s="22"/>
      <c r="AA123" s="157">
        <f>Y123+Y123*VLOOKUP(I123,EXTRAS_ARRAY,2,FALSE)</f>
        <v>3</v>
      </c>
      <c r="AB123" s="20" t="s">
        <v>193</v>
      </c>
      <c r="AC123" s="34"/>
      <c r="AD123" s="23" t="str">
        <f>IF(J123&lt;&gt;"Yes",
IF(S123&lt;=0,"Error: Effort value is not defined or is invalid.",
IF(AND(SUM(U123:W123)&gt;0,SUM(U123:W123)&lt;&gt;1),"Error: Complexity % distribution should sum to 100%.",
IF(AND(P123=AS_DEV_EFFORT,X123&lt;&gt;0),"Error: PDs should not be defined when defining as dev effort %.",
IF(AND(P123=AS_DURATION_EFFORT,X123&lt;&gt;0),"Error: PDs should not be defined when defining as duration effort %.","")))))</f>
        <v/>
      </c>
    </row>
    <row r="124" spans="1:30" s="9" customFormat="1" ht="7.5" customHeight="1" outlineLevel="2" x14ac:dyDescent="0.35">
      <c r="A124" s="86" t="s">
        <v>70</v>
      </c>
      <c r="B124" s="15"/>
      <c r="C124" s="72"/>
      <c r="D124" s="72"/>
      <c r="E124" s="72"/>
      <c r="F124" s="72"/>
      <c r="M124" s="252"/>
      <c r="T124" s="15"/>
      <c r="X124" s="15"/>
      <c r="AB124" s="10"/>
      <c r="AC124" s="10"/>
      <c r="AD124" s="10"/>
    </row>
    <row r="125" spans="1:30" s="14" customFormat="1" ht="15.5" customHeight="1" outlineLevel="1" x14ac:dyDescent="0.35">
      <c r="A125" s="86" t="s">
        <v>55</v>
      </c>
      <c r="B125" s="18"/>
      <c r="C125" s="77"/>
      <c r="D125" s="77"/>
      <c r="E125" s="77"/>
      <c r="F125" s="76"/>
      <c r="G125" s="29"/>
      <c r="H125" s="29"/>
      <c r="I125" s="29"/>
      <c r="J125" s="29"/>
      <c r="K125" s="29"/>
      <c r="L125" s="17">
        <f ca="1">LOOKUP(1000,INDIRECT("L1:"&amp;CELL("address",INDIRECT("R[-1]C",FALSE))))+1</f>
        <v>11</v>
      </c>
      <c r="M125" s="287" t="s">
        <v>171</v>
      </c>
      <c r="N125" s="288"/>
      <c r="O125" s="5"/>
      <c r="P125" s="30"/>
      <c r="Q125" s="30"/>
      <c r="R125" s="30"/>
      <c r="S125" s="30"/>
      <c r="T125" s="155">
        <f>IF($S$6="Exclude", SUMIFS(S126:S128, J126:J128, "&lt;&gt;Yes", G126:G128, "&lt;&gt;Yes"), SUMIFS(S126:S128, J126:J128, "&lt;&gt;Yes"))</f>
        <v>15.25</v>
      </c>
      <c r="U125" s="30"/>
      <c r="V125" s="30"/>
      <c r="W125" s="30"/>
      <c r="X125" s="31"/>
      <c r="Y125" s="32"/>
      <c r="Z125" s="32"/>
      <c r="AA125" s="32"/>
      <c r="AB125" s="219" t="s">
        <v>167</v>
      </c>
      <c r="AC125" s="33"/>
      <c r="AD125" s="23" t="str">
        <f>IF(M125="", "Error: Task name cannot be empty.", "")</f>
        <v/>
      </c>
    </row>
    <row r="126" spans="1:30" s="12" customFormat="1" ht="1.5" customHeight="1" outlineLevel="2" x14ac:dyDescent="0.35">
      <c r="A126" s="86" t="s">
        <v>57</v>
      </c>
      <c r="B126" s="18"/>
      <c r="C126" s="77"/>
      <c r="D126" s="77"/>
      <c r="E126" s="77"/>
      <c r="F126" s="76"/>
      <c r="G126" s="29"/>
      <c r="H126" s="29"/>
      <c r="I126" s="29"/>
      <c r="J126" s="29"/>
      <c r="K126" s="29"/>
      <c r="L126" s="163">
        <f ca="1">L125</f>
        <v>11</v>
      </c>
      <c r="M126" s="164" t="s">
        <v>58</v>
      </c>
      <c r="N126" s="161"/>
      <c r="O126" s="162"/>
      <c r="P126" s="30"/>
      <c r="Q126" s="30"/>
      <c r="R126" s="30"/>
      <c r="S126" s="30"/>
      <c r="T126" s="155"/>
      <c r="U126" s="30"/>
      <c r="V126" s="30"/>
      <c r="W126" s="30"/>
      <c r="X126" s="31"/>
      <c r="Y126" s="32"/>
      <c r="Z126" s="32"/>
      <c r="AA126" s="32"/>
      <c r="AB126" s="33"/>
      <c r="AC126" s="33"/>
      <c r="AD126" s="23"/>
    </row>
    <row r="127" spans="1:30" ht="58" customHeight="1" outlineLevel="2" x14ac:dyDescent="0.35">
      <c r="A127" s="86" t="s">
        <v>52</v>
      </c>
      <c r="B127" s="18"/>
      <c r="C127" s="78"/>
      <c r="D127" s="78"/>
      <c r="E127" s="78"/>
      <c r="F127" s="79"/>
      <c r="G127" s="19" t="s">
        <v>59</v>
      </c>
      <c r="H127" s="19" t="s">
        <v>66</v>
      </c>
      <c r="I127" s="20" t="s">
        <v>125</v>
      </c>
      <c r="J127" s="19" t="s">
        <v>59</v>
      </c>
      <c r="K127" s="35"/>
      <c r="L127" s="19"/>
      <c r="M127" s="263" t="str">
        <f ca="1">IFERROR(OFFSET(M127,-1,,1,1)+0.1,OFFSET(M127,-1,-1,1,1)&amp;".1")</f>
        <v>11.1</v>
      </c>
      <c r="N127" s="20" t="s">
        <v>194</v>
      </c>
      <c r="O127" s="20" t="s">
        <v>195</v>
      </c>
      <c r="P127" s="20"/>
      <c r="Q127" s="134"/>
      <c r="R127" s="127"/>
      <c r="S127" s="157">
        <f>CEILING((IF(J127="Yes", 0, IF(H127="-",AA127,AA127+AA127*VLOOKUP(H127,BUFFERS_BY_TYPE,2,FALSE)))) +
   (IF(J127="Yes", 0, IF(H127="-",AA127,AA127+AA127*VLOOKUP(H127,BUFFERS_BY_TYPE,2,FALSE))))*VLOOKUP($S$5, SALES_CALL_SCALE_ARRAY, 2,FALSE),0.25)</f>
        <v>15.25</v>
      </c>
      <c r="T127" s="158"/>
      <c r="U127" s="21">
        <v>0</v>
      </c>
      <c r="V127" s="21">
        <v>1</v>
      </c>
      <c r="W127" s="21">
        <v>0</v>
      </c>
      <c r="X127" s="156">
        <v>12</v>
      </c>
      <c r="Y127" s="157">
        <f>CEILING((IF(P127=AS_DEV_EFFORT, DEV_EFFORT*Q127%,
                           IF(P127=AS_DURATION_EFFORT, (MANUAL_DURATION*5)*Q127%,
                                    (IF(Q127&lt;=1,X127,
                                          IF(SUM(U127:W127)=0,(Q127*X127),
                                               (((Q127*U127)*(X127+(X127*EXTRA_FOR_H)))+
                                               ((Q127*V127)*X127)+
                                               ((Q127*W127)*(X127-(X127*LESS_FOR_L)))
                                    )*IF(R127=0,1,R127))))))+Z127), 0.25)</f>
        <v>12</v>
      </c>
      <c r="Z127" s="22"/>
      <c r="AA127" s="157">
        <f>Y127+Y127*VLOOKUP(I127,EXTRAS_ARRAY,2,FALSE)</f>
        <v>13.2</v>
      </c>
      <c r="AB127" s="20" t="s">
        <v>196</v>
      </c>
      <c r="AC127" s="34"/>
      <c r="AD127" s="23" t="str">
        <f>IF(J127&lt;&gt;"Yes",
IF(S127&lt;=0,"Error: Effort value is not defined or is invalid.",
IF(AND(SUM(U127:W127)&gt;0,SUM(U127:W127)&lt;&gt;1),"Error: Complexity % distribution should sum to 100%.",
IF(AND(P127=AS_DEV_EFFORT,X127&lt;&gt;0),"Error: PDs should not be defined when defining as dev effort %.",
IF(AND(P127=AS_DURATION_EFFORT,X127&lt;&gt;0),"Error: PDs should not be defined when defining as duration effort %.","")))))</f>
        <v/>
      </c>
    </row>
    <row r="128" spans="1:30" s="9" customFormat="1" ht="7.5" customHeight="1" outlineLevel="2" x14ac:dyDescent="0.35">
      <c r="A128" s="86" t="s">
        <v>70</v>
      </c>
      <c r="B128" s="15"/>
      <c r="C128" s="72"/>
      <c r="D128" s="72"/>
      <c r="E128" s="72"/>
      <c r="F128" s="72"/>
      <c r="M128" s="252"/>
      <c r="T128" s="15"/>
      <c r="X128" s="15"/>
      <c r="AB128" s="10"/>
      <c r="AC128" s="10"/>
      <c r="AD128" s="10"/>
    </row>
    <row r="129" spans="1:30" s="14" customFormat="1" ht="15.5" customHeight="1" outlineLevel="1" x14ac:dyDescent="0.35">
      <c r="A129" s="86" t="s">
        <v>55</v>
      </c>
      <c r="B129" s="18"/>
      <c r="C129" s="77"/>
      <c r="D129" s="77"/>
      <c r="E129" s="77"/>
      <c r="F129" s="76"/>
      <c r="G129" s="29"/>
      <c r="H129" s="29"/>
      <c r="I129" s="29"/>
      <c r="J129" s="29"/>
      <c r="K129" s="29"/>
      <c r="L129" s="17">
        <f ca="1">LOOKUP(1000,INDIRECT("L1:"&amp;CELL("address",INDIRECT("R[-1]C",FALSE))))+1</f>
        <v>12</v>
      </c>
      <c r="M129" s="287" t="s">
        <v>175</v>
      </c>
      <c r="N129" s="288"/>
      <c r="O129" s="5"/>
      <c r="P129" s="30"/>
      <c r="Q129" s="30"/>
      <c r="R129" s="30"/>
      <c r="S129" s="30"/>
      <c r="T129" s="155">
        <f>IF($S$6="Exclude", SUMIFS(S130:S132, J130:J132, "&lt;&gt;Yes", G130:G132, "&lt;&gt;Yes"), SUMIFS(S130:S132, J130:J132, "&lt;&gt;Yes"))</f>
        <v>4.75</v>
      </c>
      <c r="U129" s="30"/>
      <c r="V129" s="30"/>
      <c r="W129" s="30"/>
      <c r="X129" s="31"/>
      <c r="Y129" s="32"/>
      <c r="Z129" s="32"/>
      <c r="AA129" s="32"/>
      <c r="AB129" s="219" t="s">
        <v>167</v>
      </c>
      <c r="AC129" s="33"/>
      <c r="AD129" s="23" t="str">
        <f>IF(M129="", "Error: Task name cannot be empty.", "")</f>
        <v/>
      </c>
    </row>
    <row r="130" spans="1:30" s="12" customFormat="1" ht="1.5" customHeight="1" outlineLevel="2" x14ac:dyDescent="0.35">
      <c r="A130" s="86" t="s">
        <v>57</v>
      </c>
      <c r="B130" s="18"/>
      <c r="C130" s="77"/>
      <c r="D130" s="77"/>
      <c r="E130" s="77"/>
      <c r="F130" s="76"/>
      <c r="G130" s="29"/>
      <c r="H130" s="29"/>
      <c r="I130" s="29"/>
      <c r="J130" s="29"/>
      <c r="K130" s="29"/>
      <c r="L130" s="163">
        <f ca="1">L129</f>
        <v>12</v>
      </c>
      <c r="M130" s="164" t="s">
        <v>58</v>
      </c>
      <c r="N130" s="161"/>
      <c r="O130" s="162"/>
      <c r="P130" s="30"/>
      <c r="Q130" s="30"/>
      <c r="R130" s="30"/>
      <c r="S130" s="30"/>
      <c r="T130" s="155"/>
      <c r="U130" s="30"/>
      <c r="V130" s="30"/>
      <c r="W130" s="30"/>
      <c r="X130" s="31"/>
      <c r="Y130" s="32"/>
      <c r="Z130" s="32"/>
      <c r="AA130" s="32"/>
      <c r="AB130" s="33"/>
      <c r="AC130" s="33"/>
      <c r="AD130" s="23"/>
    </row>
    <row r="131" spans="1:30" ht="43.5" customHeight="1" outlineLevel="2" x14ac:dyDescent="0.35">
      <c r="A131" s="86" t="s">
        <v>52</v>
      </c>
      <c r="B131" s="18"/>
      <c r="C131" s="78"/>
      <c r="D131" s="78"/>
      <c r="E131" s="78"/>
      <c r="F131" s="79"/>
      <c r="G131" s="19" t="s">
        <v>59</v>
      </c>
      <c r="H131" s="19" t="s">
        <v>66</v>
      </c>
      <c r="I131" s="20" t="s">
        <v>59</v>
      </c>
      <c r="J131" s="19" t="s">
        <v>59</v>
      </c>
      <c r="K131" s="35"/>
      <c r="L131" s="19"/>
      <c r="M131" s="263" t="str">
        <f ca="1">IFERROR(OFFSET(M131,-1,,1,1)+0.1,OFFSET(M131,-1,-1,1,1)&amp;".1")</f>
        <v>12.1</v>
      </c>
      <c r="N131" s="20" t="s">
        <v>197</v>
      </c>
      <c r="O131" s="20" t="s">
        <v>198</v>
      </c>
      <c r="P131" s="20"/>
      <c r="Q131" s="134"/>
      <c r="R131" s="127"/>
      <c r="S131" s="157">
        <f>CEILING((IF(J131="Yes", 0, IF(H131="-",AA131,AA131+AA131*VLOOKUP(H131,BUFFERS_BY_TYPE,2,FALSE)))) +
   (IF(J131="Yes", 0, IF(H131="-",AA131,AA131+AA131*VLOOKUP(H131,BUFFERS_BY_TYPE,2,FALSE))))*VLOOKUP($S$5, SALES_CALL_SCALE_ARRAY, 2,FALSE),0.25)</f>
        <v>4.75</v>
      </c>
      <c r="T131" s="158"/>
      <c r="U131" s="21">
        <v>0</v>
      </c>
      <c r="V131" s="21">
        <v>1</v>
      </c>
      <c r="W131" s="21">
        <v>0</v>
      </c>
      <c r="X131" s="156">
        <v>4</v>
      </c>
      <c r="Y131" s="157">
        <f>CEILING((IF(P131=AS_DEV_EFFORT, DEV_EFFORT*Q131%,
                           IF(P131=AS_DURATION_EFFORT, (MANUAL_DURATION*5)*Q131%,
                                    (IF(Q131&lt;=1,X131,
                                          IF(SUM(U131:W131)=0,(Q131*X131),
                                               (((Q131*U131)*(X131+(X131*EXTRA_FOR_H)))+
                                               ((Q131*V131)*X131)+
                                               ((Q131*W131)*(X131-(X131*LESS_FOR_L)))
                                    )*IF(R131=0,1,R131))))))+Z131), 0.25)</f>
        <v>4</v>
      </c>
      <c r="Z131" s="22"/>
      <c r="AA131" s="157">
        <f>Y131+Y131*VLOOKUP(I131,EXTRAS_ARRAY,2,FALSE)</f>
        <v>4</v>
      </c>
      <c r="AB131" s="20" t="s">
        <v>199</v>
      </c>
      <c r="AC131" s="34"/>
      <c r="AD131" s="23" t="str">
        <f>IF(J131&lt;&gt;"Yes",
IF(S131&lt;=0,"Error: Effort value is not defined or is invalid.",
IF(AND(SUM(U131:W131)&gt;0,SUM(U131:W131)&lt;&gt;1),"Error: Complexity % distribution should sum to 100%.",
IF(AND(P131=AS_DEV_EFFORT,X131&lt;&gt;0),"Error: PDs should not be defined when defining as dev effort %.",
IF(AND(P131=AS_DURATION_EFFORT,X131&lt;&gt;0),"Error: PDs should not be defined when defining as duration effort %.","")))))</f>
        <v/>
      </c>
    </row>
    <row r="132" spans="1:30" s="9" customFormat="1" ht="7.5" customHeight="1" outlineLevel="2" x14ac:dyDescent="0.35">
      <c r="A132" s="86" t="s">
        <v>70</v>
      </c>
      <c r="B132" s="15"/>
      <c r="C132" s="72"/>
      <c r="D132" s="72"/>
      <c r="E132" s="72"/>
      <c r="F132" s="72"/>
      <c r="M132" s="252"/>
      <c r="T132" s="15"/>
      <c r="X132" s="15"/>
      <c r="AB132" s="10"/>
      <c r="AC132" s="10"/>
      <c r="AD132" s="10"/>
    </row>
    <row r="133" spans="1:30" s="14" customFormat="1" ht="15.5" customHeight="1" outlineLevel="1" x14ac:dyDescent="0.35">
      <c r="A133" s="86" t="s">
        <v>55</v>
      </c>
      <c r="B133" s="18"/>
      <c r="C133" s="77"/>
      <c r="D133" s="77"/>
      <c r="E133" s="77"/>
      <c r="F133" s="76"/>
      <c r="G133" s="29"/>
      <c r="H133" s="29"/>
      <c r="I133" s="29"/>
      <c r="J133" s="29"/>
      <c r="K133" s="29"/>
      <c r="L133" s="17">
        <f ca="1">LOOKUP(1000,INDIRECT("L1:"&amp;CELL("address",INDIRECT("R[-1]C",FALSE))))+1</f>
        <v>13</v>
      </c>
      <c r="M133" s="287" t="s">
        <v>179</v>
      </c>
      <c r="N133" s="288"/>
      <c r="O133" s="5"/>
      <c r="P133" s="30"/>
      <c r="Q133" s="30"/>
      <c r="R133" s="30"/>
      <c r="S133" s="30"/>
      <c r="T133" s="155">
        <f>IF($S$6="Exclude", SUMIFS(S134:S136, J134:J136, "&lt;&gt;Yes", G134:G136, "&lt;&gt;Yes"), SUMIFS(S134:S136, J134:J136, "&lt;&gt;Yes"))</f>
        <v>3.5</v>
      </c>
      <c r="U133" s="30"/>
      <c r="V133" s="30"/>
      <c r="W133" s="30"/>
      <c r="X133" s="31"/>
      <c r="Y133" s="32"/>
      <c r="Z133" s="32"/>
      <c r="AA133" s="32"/>
      <c r="AB133" s="219" t="s">
        <v>167</v>
      </c>
      <c r="AC133" s="33"/>
      <c r="AD133" s="23" t="str">
        <f>IF(M133="", "Error: Task name cannot be empty.", "")</f>
        <v/>
      </c>
    </row>
    <row r="134" spans="1:30" s="12" customFormat="1" ht="1.5" customHeight="1" outlineLevel="2" x14ac:dyDescent="0.35">
      <c r="A134" s="86" t="s">
        <v>57</v>
      </c>
      <c r="B134" s="18"/>
      <c r="C134" s="77"/>
      <c r="D134" s="77"/>
      <c r="E134" s="77"/>
      <c r="F134" s="76"/>
      <c r="G134" s="29"/>
      <c r="H134" s="29"/>
      <c r="I134" s="29"/>
      <c r="J134" s="29"/>
      <c r="K134" s="29"/>
      <c r="L134" s="163">
        <f ca="1">L133</f>
        <v>13</v>
      </c>
      <c r="M134" s="164" t="s">
        <v>58</v>
      </c>
      <c r="N134" s="161"/>
      <c r="O134" s="162"/>
      <c r="P134" s="30"/>
      <c r="Q134" s="30"/>
      <c r="R134" s="30"/>
      <c r="S134" s="30"/>
      <c r="T134" s="155"/>
      <c r="U134" s="30"/>
      <c r="V134" s="30"/>
      <c r="W134" s="30"/>
      <c r="X134" s="31"/>
      <c r="Y134" s="32"/>
      <c r="Z134" s="32"/>
      <c r="AA134" s="32"/>
      <c r="AB134" s="33"/>
      <c r="AC134" s="33"/>
      <c r="AD134" s="23"/>
    </row>
    <row r="135" spans="1:30" ht="29" customHeight="1" outlineLevel="2" x14ac:dyDescent="0.35">
      <c r="A135" s="86" t="s">
        <v>52</v>
      </c>
      <c r="B135" s="18"/>
      <c r="C135" s="78"/>
      <c r="D135" s="78"/>
      <c r="E135" s="78"/>
      <c r="F135" s="79"/>
      <c r="G135" s="19" t="s">
        <v>59</v>
      </c>
      <c r="H135" s="19" t="s">
        <v>60</v>
      </c>
      <c r="I135" s="20" t="s">
        <v>59</v>
      </c>
      <c r="J135" s="19" t="s">
        <v>59</v>
      </c>
      <c r="K135" s="35"/>
      <c r="L135" s="19"/>
      <c r="M135" s="263" t="str">
        <f ca="1">IFERROR(OFFSET(M135,-1,,1,1)+0.1,OFFSET(M135,-1,-1,1,1)&amp;".1")</f>
        <v>13.1</v>
      </c>
      <c r="N135" s="20" t="s">
        <v>200</v>
      </c>
      <c r="O135" s="20" t="s">
        <v>201</v>
      </c>
      <c r="P135" s="20"/>
      <c r="Q135" s="134"/>
      <c r="R135" s="127"/>
      <c r="S135" s="157">
        <f>CEILING((IF(J135="Yes", 0, IF(H135="-",AA135,AA135+AA135*VLOOKUP(H135,BUFFERS_BY_TYPE,2,FALSE)))) +
   (IF(J135="Yes", 0, IF(H135="-",AA135,AA135+AA135*VLOOKUP(H135,BUFFERS_BY_TYPE,2,FALSE))))*VLOOKUP($S$5, SALES_CALL_SCALE_ARRAY, 2,FALSE),0.25)</f>
        <v>3.5</v>
      </c>
      <c r="T135" s="158"/>
      <c r="U135" s="21">
        <v>0</v>
      </c>
      <c r="V135" s="21">
        <v>1</v>
      </c>
      <c r="W135" s="21">
        <v>0</v>
      </c>
      <c r="X135" s="156">
        <v>3</v>
      </c>
      <c r="Y135" s="157">
        <f>CEILING((IF(P135=AS_DEV_EFFORT, DEV_EFFORT*Q135%,
                           IF(P135=AS_DURATION_EFFORT, (MANUAL_DURATION*5)*Q135%,
                                    (IF(Q135&lt;=1,X135,
                                          IF(SUM(U135:W135)=0,(Q135*X135),
                                               (((Q135*U135)*(X135+(X135*EXTRA_FOR_H)))+
                                               ((Q135*V135)*X135)+
                                               ((Q135*W135)*(X135-(X135*LESS_FOR_L)))
                                    )*IF(R135=0,1,R135))))))+Z135), 0.25)</f>
        <v>3</v>
      </c>
      <c r="Z135" s="22"/>
      <c r="AA135" s="157">
        <f>Y135+Y135*VLOOKUP(I135,EXTRAS_ARRAY,2,FALSE)</f>
        <v>3</v>
      </c>
      <c r="AB135" s="20" t="s">
        <v>202</v>
      </c>
      <c r="AC135" s="34"/>
      <c r="AD135" s="23" t="str">
        <f>IF(J135&lt;&gt;"Yes",
IF(S135&lt;=0,"Error: Effort value is not defined or is invalid.",
IF(AND(SUM(U135:W135)&gt;0,SUM(U135:W135)&lt;&gt;1),"Error: Complexity % distribution should sum to 100%.",
IF(AND(P135=AS_DEV_EFFORT,X135&lt;&gt;0),"Error: PDs should not be defined when defining as dev effort %.",
IF(AND(P135=AS_DURATION_EFFORT,X135&lt;&gt;0),"Error: PDs should not be defined when defining as duration effort %.","")))))</f>
        <v/>
      </c>
    </row>
    <row r="136" spans="1:30" s="9" customFormat="1" ht="7.5" customHeight="1" outlineLevel="2" x14ac:dyDescent="0.35">
      <c r="A136" s="86" t="s">
        <v>70</v>
      </c>
      <c r="B136" s="15"/>
      <c r="C136" s="72"/>
      <c r="D136" s="72"/>
      <c r="E136" s="72"/>
      <c r="F136" s="72"/>
      <c r="M136" s="252"/>
      <c r="T136" s="15"/>
      <c r="X136" s="15"/>
      <c r="AB136" s="10"/>
      <c r="AC136" s="10"/>
      <c r="AD136" s="10"/>
    </row>
    <row r="137" spans="1:30" s="14" customFormat="1" ht="15.5" customHeight="1" outlineLevel="1" x14ac:dyDescent="0.35">
      <c r="A137" s="86" t="s">
        <v>55</v>
      </c>
      <c r="B137" s="18"/>
      <c r="C137" s="77"/>
      <c r="D137" s="77"/>
      <c r="E137" s="77"/>
      <c r="F137" s="76"/>
      <c r="G137" s="29"/>
      <c r="H137" s="29"/>
      <c r="I137" s="29"/>
      <c r="J137" s="29"/>
      <c r="K137" s="29"/>
      <c r="L137" s="17">
        <f ca="1">LOOKUP(1000,INDIRECT("L1:"&amp;CELL("address",INDIRECT("R[-1]C",FALSE))))+1</f>
        <v>14</v>
      </c>
      <c r="M137" s="287" t="s">
        <v>183</v>
      </c>
      <c r="N137" s="288"/>
      <c r="O137" s="5"/>
      <c r="P137" s="30"/>
      <c r="Q137" s="30"/>
      <c r="R137" s="30"/>
      <c r="S137" s="30"/>
      <c r="T137" s="155">
        <f>IF($S$6="Exclude", SUMIFS(S138:S140, J138:J140, "&lt;&gt;Yes", G138:G140, "&lt;&gt;Yes"), SUMIFS(S138:S140, J138:J140, "&lt;&gt;Yes"))</f>
        <v>3.5</v>
      </c>
      <c r="U137" s="30"/>
      <c r="V137" s="30"/>
      <c r="W137" s="30"/>
      <c r="X137" s="31"/>
      <c r="Y137" s="32"/>
      <c r="Z137" s="32"/>
      <c r="AA137" s="32"/>
      <c r="AB137" s="219" t="s">
        <v>167</v>
      </c>
      <c r="AC137" s="33"/>
      <c r="AD137" s="23" t="str">
        <f>IF(M137="", "Error: Task name cannot be empty.", "")</f>
        <v/>
      </c>
    </row>
    <row r="138" spans="1:30" s="12" customFormat="1" ht="1.5" customHeight="1" outlineLevel="2" x14ac:dyDescent="0.35">
      <c r="A138" s="86" t="s">
        <v>57</v>
      </c>
      <c r="B138" s="18"/>
      <c r="C138" s="77"/>
      <c r="D138" s="77"/>
      <c r="E138" s="77"/>
      <c r="F138" s="76"/>
      <c r="G138" s="29"/>
      <c r="H138" s="29"/>
      <c r="I138" s="29"/>
      <c r="J138" s="29"/>
      <c r="K138" s="29"/>
      <c r="L138" s="163">
        <f ca="1">L137</f>
        <v>14</v>
      </c>
      <c r="M138" s="164" t="s">
        <v>58</v>
      </c>
      <c r="N138" s="161"/>
      <c r="O138" s="162"/>
      <c r="P138" s="30"/>
      <c r="Q138" s="30"/>
      <c r="R138" s="30"/>
      <c r="S138" s="30"/>
      <c r="T138" s="155"/>
      <c r="U138" s="30"/>
      <c r="V138" s="30"/>
      <c r="W138" s="30"/>
      <c r="X138" s="31"/>
      <c r="Y138" s="32"/>
      <c r="Z138" s="32"/>
      <c r="AA138" s="32"/>
      <c r="AB138" s="33"/>
      <c r="AC138" s="33"/>
      <c r="AD138" s="23"/>
    </row>
    <row r="139" spans="1:30" ht="29" customHeight="1" outlineLevel="2" x14ac:dyDescent="0.35">
      <c r="A139" s="86" t="s">
        <v>52</v>
      </c>
      <c r="B139" s="18"/>
      <c r="C139" s="78"/>
      <c r="D139" s="78"/>
      <c r="E139" s="78"/>
      <c r="F139" s="79"/>
      <c r="G139" s="19" t="s">
        <v>59</v>
      </c>
      <c r="H139" s="19" t="s">
        <v>60</v>
      </c>
      <c r="I139" s="20" t="s">
        <v>59</v>
      </c>
      <c r="J139" s="19" t="s">
        <v>59</v>
      </c>
      <c r="K139" s="35"/>
      <c r="L139" s="19"/>
      <c r="M139" s="263" t="str">
        <f ca="1">IFERROR(OFFSET(M139,-1,,1,1)+0.1,OFFSET(M139,-1,-1,1,1)&amp;".1")</f>
        <v>14.1</v>
      </c>
      <c r="N139" s="20" t="s">
        <v>203</v>
      </c>
      <c r="O139" s="20" t="s">
        <v>204</v>
      </c>
      <c r="P139" s="20"/>
      <c r="Q139" s="134"/>
      <c r="R139" s="127"/>
      <c r="S139" s="157">
        <f>CEILING((IF(J139="Yes", 0, IF(H139="-",AA139,AA139+AA139*VLOOKUP(H139,BUFFERS_BY_TYPE,2,FALSE)))) +
   (IF(J139="Yes", 0, IF(H139="-",AA139,AA139+AA139*VLOOKUP(H139,BUFFERS_BY_TYPE,2,FALSE))))*VLOOKUP($S$5, SALES_CALL_SCALE_ARRAY, 2,FALSE),0.25)</f>
        <v>3.5</v>
      </c>
      <c r="T139" s="158"/>
      <c r="U139" s="21">
        <v>0</v>
      </c>
      <c r="V139" s="21">
        <v>1</v>
      </c>
      <c r="W139" s="21">
        <v>0</v>
      </c>
      <c r="X139" s="156">
        <v>3</v>
      </c>
      <c r="Y139" s="157">
        <f>CEILING((IF(P139=AS_DEV_EFFORT, DEV_EFFORT*Q139%,
                           IF(P139=AS_DURATION_EFFORT, (MANUAL_DURATION*5)*Q139%,
                                    (IF(Q139&lt;=1,X139,
                                          IF(SUM(U139:W139)=0,(Q139*X139),
                                               (((Q139*U139)*(X139+(X139*EXTRA_FOR_H)))+
                                               ((Q139*V139)*X139)+
                                               ((Q139*W139)*(X139-(X139*LESS_FOR_L)))
                                    )*IF(R139=0,1,R139))))))+Z139), 0.25)</f>
        <v>3</v>
      </c>
      <c r="Z139" s="22"/>
      <c r="AA139" s="157">
        <f>Y139+Y139*VLOOKUP(I139,EXTRAS_ARRAY,2,FALSE)</f>
        <v>3</v>
      </c>
      <c r="AB139" s="20" t="s">
        <v>205</v>
      </c>
      <c r="AC139" s="34"/>
      <c r="AD139" s="23" t="str">
        <f>IF(J139&lt;&gt;"Yes",
IF(S139&lt;=0,"Error: Effort value is not defined or is invalid.",
IF(AND(SUM(U139:W139)&gt;0,SUM(U139:W139)&lt;&gt;1),"Error: Complexity % distribution should sum to 100%.",
IF(AND(P139=AS_DEV_EFFORT,X139&lt;&gt;0),"Error: PDs should not be defined when defining as dev effort %.",
IF(AND(P139=AS_DURATION_EFFORT,X139&lt;&gt;0),"Error: PDs should not be defined when defining as duration effort %.","")))))</f>
        <v/>
      </c>
    </row>
    <row r="140" spans="1:30" s="9" customFormat="1" ht="7.5" customHeight="1" outlineLevel="2" x14ac:dyDescent="0.35">
      <c r="A140" s="86" t="s">
        <v>70</v>
      </c>
      <c r="B140" s="15"/>
      <c r="C140" s="72"/>
      <c r="D140" s="72"/>
      <c r="E140" s="72"/>
      <c r="F140" s="72"/>
      <c r="M140" s="252"/>
      <c r="T140" s="15"/>
      <c r="X140" s="15"/>
      <c r="AB140" s="10"/>
      <c r="AC140" s="10"/>
      <c r="AD140" s="10"/>
    </row>
    <row r="141" spans="1:30" s="14" customFormat="1" ht="15.5" customHeight="1" outlineLevel="1" x14ac:dyDescent="0.35">
      <c r="A141" s="86" t="s">
        <v>161</v>
      </c>
      <c r="B141" s="18"/>
      <c r="C141" s="77"/>
      <c r="D141" s="77"/>
      <c r="E141" s="77"/>
      <c r="F141" s="76"/>
      <c r="G141" s="170"/>
      <c r="H141" s="170"/>
      <c r="I141" s="170"/>
      <c r="J141" s="170"/>
      <c r="K141" s="170"/>
      <c r="L141" s="85" t="s">
        <v>23</v>
      </c>
      <c r="M141" s="296" t="s">
        <v>206</v>
      </c>
      <c r="N141" s="288"/>
      <c r="O141" s="80"/>
      <c r="P141" s="81"/>
      <c r="Q141" s="81"/>
      <c r="R141" s="81"/>
      <c r="S141" s="291">
        <f>SUMGROUP(ROW(), "T")</f>
        <v>61.75</v>
      </c>
      <c r="T141" s="292"/>
      <c r="U141" s="295"/>
      <c r="V141" s="288"/>
      <c r="W141" s="288"/>
      <c r="X141" s="82"/>
      <c r="Y141" s="83"/>
      <c r="Z141" s="83"/>
      <c r="AA141" s="83"/>
      <c r="AB141" s="221"/>
      <c r="AC141" s="84"/>
      <c r="AD141" s="23" t="str">
        <f>IF(M141="", "Error: Module name cannot be empty.", "")</f>
        <v/>
      </c>
    </row>
    <row r="142" spans="1:30" s="14" customFormat="1" ht="15.5" customHeight="1" outlineLevel="1" x14ac:dyDescent="0.35">
      <c r="A142" s="86" t="s">
        <v>55</v>
      </c>
      <c r="B142" s="18"/>
      <c r="C142" s="77"/>
      <c r="D142" s="77"/>
      <c r="E142" s="77"/>
      <c r="F142" s="76"/>
      <c r="G142" s="29"/>
      <c r="H142" s="29"/>
      <c r="I142" s="29"/>
      <c r="J142" s="29"/>
      <c r="K142" s="29"/>
      <c r="L142" s="17">
        <f ca="1">LOOKUP(1000,INDIRECT("L1:"&amp;CELL("address",INDIRECT("R[-1]C",FALSE))))+1</f>
        <v>15</v>
      </c>
      <c r="M142" s="287" t="s">
        <v>163</v>
      </c>
      <c r="N142" s="288"/>
      <c r="O142" s="5"/>
      <c r="P142" s="30"/>
      <c r="Q142" s="30"/>
      <c r="R142" s="30"/>
      <c r="S142" s="30"/>
      <c r="T142" s="155">
        <f>IF($S$6="Exclude", SUMIFS(S143:S145, J143:J145, "&lt;&gt;Yes", G143:G145, "&lt;&gt;Yes"), SUMIFS(S143:S145, J143:J145, "&lt;&gt;Yes"))</f>
        <v>14</v>
      </c>
      <c r="U142" s="30"/>
      <c r="V142" s="30"/>
      <c r="W142" s="30"/>
      <c r="X142" s="31"/>
      <c r="Y142" s="32"/>
      <c r="Z142" s="32"/>
      <c r="AA142" s="32"/>
      <c r="AB142" s="219" t="s">
        <v>167</v>
      </c>
      <c r="AC142" s="33"/>
      <c r="AD142" s="23" t="str">
        <f>IF(M142="", "Error: Task name cannot be empty.", "")</f>
        <v/>
      </c>
    </row>
    <row r="143" spans="1:30" s="12" customFormat="1" ht="1.5" customHeight="1" outlineLevel="2" x14ac:dyDescent="0.35">
      <c r="A143" s="86" t="s">
        <v>57</v>
      </c>
      <c r="B143" s="18"/>
      <c r="C143" s="77"/>
      <c r="D143" s="77"/>
      <c r="E143" s="77"/>
      <c r="F143" s="76"/>
      <c r="G143" s="29"/>
      <c r="H143" s="29"/>
      <c r="I143" s="29"/>
      <c r="J143" s="29"/>
      <c r="K143" s="29"/>
      <c r="L143" s="163">
        <f ca="1">L142</f>
        <v>15</v>
      </c>
      <c r="M143" s="164" t="s">
        <v>58</v>
      </c>
      <c r="N143" s="161"/>
      <c r="O143" s="162"/>
      <c r="P143" s="30"/>
      <c r="Q143" s="30"/>
      <c r="R143" s="30"/>
      <c r="S143" s="30"/>
      <c r="T143" s="155"/>
      <c r="U143" s="30"/>
      <c r="V143" s="30"/>
      <c r="W143" s="30"/>
      <c r="X143" s="31"/>
      <c r="Y143" s="32"/>
      <c r="Z143" s="32"/>
      <c r="AA143" s="32"/>
      <c r="AB143" s="33"/>
      <c r="AC143" s="33"/>
      <c r="AD143" s="23"/>
    </row>
    <row r="144" spans="1:30" ht="43.5" customHeight="1" outlineLevel="2" x14ac:dyDescent="0.35">
      <c r="A144" s="86" t="s">
        <v>52</v>
      </c>
      <c r="B144" s="18"/>
      <c r="C144" s="78"/>
      <c r="D144" s="78"/>
      <c r="E144" s="78"/>
      <c r="F144" s="79"/>
      <c r="G144" s="19" t="s">
        <v>59</v>
      </c>
      <c r="H144" s="19" t="s">
        <v>66</v>
      </c>
      <c r="I144" s="20" t="s">
        <v>59</v>
      </c>
      <c r="J144" s="19" t="s">
        <v>59</v>
      </c>
      <c r="K144" s="35"/>
      <c r="L144" s="19"/>
      <c r="M144" s="263" t="str">
        <f ca="1">IFERROR(OFFSET(M144,-1,,1,1)+0.1,OFFSET(M144,-1,-1,1,1)&amp;".1")</f>
        <v>15.1</v>
      </c>
      <c r="N144" s="20" t="s">
        <v>207</v>
      </c>
      <c r="O144" s="20" t="s">
        <v>208</v>
      </c>
      <c r="P144" s="20"/>
      <c r="Q144" s="134"/>
      <c r="R144" s="127"/>
      <c r="S144" s="157">
        <f>CEILING((IF(J144="Yes", 0, IF(H144="-",AA144,AA144+AA144*VLOOKUP(H144,BUFFERS_BY_TYPE,2,FALSE)))) +
   (IF(J144="Yes", 0, IF(H144="-",AA144,AA144+AA144*VLOOKUP(H144,BUFFERS_BY_TYPE,2,FALSE))))*VLOOKUP($S$5, SALES_CALL_SCALE_ARRAY, 2,FALSE),0.25)</f>
        <v>14</v>
      </c>
      <c r="T144" s="158"/>
      <c r="U144" s="21">
        <v>0</v>
      </c>
      <c r="V144" s="21">
        <v>1</v>
      </c>
      <c r="W144" s="21">
        <v>0</v>
      </c>
      <c r="X144" s="156">
        <v>12</v>
      </c>
      <c r="Y144" s="157">
        <f>CEILING((IF(P144=AS_DEV_EFFORT, DEV_EFFORT*Q144%,
                           IF(P144=AS_DURATION_EFFORT, (MANUAL_DURATION*5)*Q144%,
                                    (IF(Q144&lt;=1,X144,
                                          IF(SUM(U144:W144)=0,(Q144*X144),
                                               (((Q144*U144)*(X144+(X144*EXTRA_FOR_H)))+
                                               ((Q144*V144)*X144)+
                                               ((Q144*W144)*(X144-(X144*LESS_FOR_L)))
                                    )*IF(R144=0,1,R144))))))+Z144), 0.25)</f>
        <v>12</v>
      </c>
      <c r="Z144" s="22"/>
      <c r="AA144" s="157">
        <f>Y144+Y144*VLOOKUP(I144,EXTRAS_ARRAY,2,FALSE)</f>
        <v>12</v>
      </c>
      <c r="AB144" s="20" t="s">
        <v>209</v>
      </c>
      <c r="AC144" s="34"/>
      <c r="AD144" s="23" t="str">
        <f>IF(J144&lt;&gt;"Yes",
IF(S144&lt;=0,"Error: Effort value is not defined or is invalid.",
IF(AND(SUM(U144:W144)&gt;0,SUM(U144:W144)&lt;&gt;1),"Error: Complexity % distribution should sum to 100%.",
IF(AND(P144=AS_DEV_EFFORT,X144&lt;&gt;0),"Error: PDs should not be defined when defining as dev effort %.",
IF(AND(P144=AS_DURATION_EFFORT,X144&lt;&gt;0),"Error: PDs should not be defined when defining as duration effort %.","")))))</f>
        <v/>
      </c>
    </row>
    <row r="145" spans="1:30" s="9" customFormat="1" ht="7.5" customHeight="1" outlineLevel="2" x14ac:dyDescent="0.35">
      <c r="A145" s="86" t="s">
        <v>70</v>
      </c>
      <c r="B145" s="15"/>
      <c r="C145" s="72"/>
      <c r="D145" s="72"/>
      <c r="E145" s="72"/>
      <c r="F145" s="72"/>
      <c r="M145" s="252"/>
      <c r="T145" s="15"/>
      <c r="X145" s="15"/>
      <c r="AB145" s="10"/>
      <c r="AC145" s="10"/>
      <c r="AD145" s="10"/>
    </row>
    <row r="146" spans="1:30" s="14" customFormat="1" ht="15.5" customHeight="1" outlineLevel="1" x14ac:dyDescent="0.35">
      <c r="A146" s="86" t="s">
        <v>55</v>
      </c>
      <c r="B146" s="18"/>
      <c r="C146" s="77"/>
      <c r="D146" s="77"/>
      <c r="E146" s="77"/>
      <c r="F146" s="76"/>
      <c r="G146" s="29"/>
      <c r="H146" s="29"/>
      <c r="I146" s="29"/>
      <c r="J146" s="29"/>
      <c r="K146" s="29"/>
      <c r="L146" s="17">
        <f ca="1">LOOKUP(1000,INDIRECT("L1:"&amp;CELL("address",INDIRECT("R[-1]C",FALSE))))+1</f>
        <v>16</v>
      </c>
      <c r="M146" s="287" t="s">
        <v>166</v>
      </c>
      <c r="N146" s="288"/>
      <c r="O146" s="5"/>
      <c r="P146" s="30"/>
      <c r="Q146" s="30"/>
      <c r="R146" s="30"/>
      <c r="S146" s="30"/>
      <c r="T146" s="155">
        <f>IF($S$6="Exclude", SUMIFS(S147:S149, J147:J149, "&lt;&gt;Yes", G147:G149, "&lt;&gt;Yes"), SUMIFS(S147:S149, J147:J149, "&lt;&gt;Yes"))</f>
        <v>5.5</v>
      </c>
      <c r="U146" s="30"/>
      <c r="V146" s="30"/>
      <c r="W146" s="30"/>
      <c r="X146" s="31"/>
      <c r="Y146" s="32"/>
      <c r="Z146" s="32"/>
      <c r="AA146" s="32"/>
      <c r="AB146" s="219" t="s">
        <v>167</v>
      </c>
      <c r="AC146" s="33"/>
      <c r="AD146" s="23" t="str">
        <f>IF(M146="", "Error: Task name cannot be empty.", "")</f>
        <v/>
      </c>
    </row>
    <row r="147" spans="1:30" s="12" customFormat="1" ht="1.5" customHeight="1" outlineLevel="2" x14ac:dyDescent="0.35">
      <c r="A147" s="86" t="s">
        <v>57</v>
      </c>
      <c r="B147" s="18"/>
      <c r="C147" s="77"/>
      <c r="D147" s="77"/>
      <c r="E147" s="77"/>
      <c r="F147" s="76"/>
      <c r="G147" s="29"/>
      <c r="H147" s="29"/>
      <c r="I147" s="29"/>
      <c r="J147" s="29"/>
      <c r="K147" s="29"/>
      <c r="L147" s="163">
        <f ca="1">L146</f>
        <v>16</v>
      </c>
      <c r="M147" s="164" t="s">
        <v>58</v>
      </c>
      <c r="N147" s="161"/>
      <c r="O147" s="162"/>
      <c r="P147" s="30"/>
      <c r="Q147" s="30"/>
      <c r="R147" s="30"/>
      <c r="S147" s="30"/>
      <c r="T147" s="155"/>
      <c r="U147" s="30"/>
      <c r="V147" s="30"/>
      <c r="W147" s="30"/>
      <c r="X147" s="31"/>
      <c r="Y147" s="32"/>
      <c r="Z147" s="32"/>
      <c r="AA147" s="32"/>
      <c r="AB147" s="33"/>
      <c r="AC147" s="33"/>
      <c r="AD147" s="23"/>
    </row>
    <row r="148" spans="1:30" ht="58" customHeight="1" outlineLevel="2" x14ac:dyDescent="0.35">
      <c r="A148" s="86" t="s">
        <v>52</v>
      </c>
      <c r="B148" s="18"/>
      <c r="C148" s="78"/>
      <c r="D148" s="78"/>
      <c r="E148" s="78"/>
      <c r="F148" s="79"/>
      <c r="G148" s="19" t="s">
        <v>59</v>
      </c>
      <c r="H148" s="19" t="s">
        <v>60</v>
      </c>
      <c r="I148" s="20" t="s">
        <v>59</v>
      </c>
      <c r="J148" s="19" t="s">
        <v>59</v>
      </c>
      <c r="K148" s="35"/>
      <c r="L148" s="19"/>
      <c r="M148" s="263" t="str">
        <f ca="1">IFERROR(OFFSET(M148,-1,,1,1)+0.1,OFFSET(M148,-1,-1,1,1)&amp;".1")</f>
        <v>16.1</v>
      </c>
      <c r="N148" s="20" t="s">
        <v>210</v>
      </c>
      <c r="O148" s="20" t="s">
        <v>211</v>
      </c>
      <c r="P148" s="20"/>
      <c r="Q148" s="134"/>
      <c r="R148" s="127"/>
      <c r="S148" s="157">
        <f>CEILING((IF(J148="Yes", 0, IF(H148="-",AA148,AA148+AA148*VLOOKUP(H148,BUFFERS_BY_TYPE,2,FALSE)))) +
   (IF(J148="Yes", 0, IF(H148="-",AA148,AA148+AA148*VLOOKUP(H148,BUFFERS_BY_TYPE,2,FALSE))))*VLOOKUP($S$5, SALES_CALL_SCALE_ARRAY, 2,FALSE),0.25)</f>
        <v>5.5</v>
      </c>
      <c r="T148" s="158"/>
      <c r="U148" s="21">
        <v>0</v>
      </c>
      <c r="V148" s="21">
        <v>1</v>
      </c>
      <c r="W148" s="21">
        <v>0</v>
      </c>
      <c r="X148" s="156">
        <v>5</v>
      </c>
      <c r="Y148" s="157">
        <f>CEILING((IF(P148=AS_DEV_EFFORT, DEV_EFFORT*Q148%,
                           IF(P148=AS_DURATION_EFFORT, (MANUAL_DURATION*5)*Q148%,
                                    (IF(Q148&lt;=1,X148,
                                          IF(SUM(U148:W148)=0,(Q148*X148),
                                               (((Q148*U148)*(X148+(X148*EXTRA_FOR_H)))+
                                               ((Q148*V148)*X148)+
                                               ((Q148*W148)*(X148-(X148*LESS_FOR_L)))
                                    )*IF(R148=0,1,R148))))))+Z148), 0.25)</f>
        <v>5</v>
      </c>
      <c r="Z148" s="22"/>
      <c r="AA148" s="157">
        <f>Y148+Y148*VLOOKUP(I148,EXTRAS_ARRAY,2,FALSE)</f>
        <v>5</v>
      </c>
      <c r="AB148" s="20" t="s">
        <v>212</v>
      </c>
      <c r="AC148" s="34"/>
      <c r="AD148" s="23" t="str">
        <f>IF(J148&lt;&gt;"Yes",
IF(S148&lt;=0,"Error: Effort value is not defined or is invalid.",
IF(AND(SUM(U148:W148)&gt;0,SUM(U148:W148)&lt;&gt;1),"Error: Complexity % distribution should sum to 100%.",
IF(AND(P148=AS_DEV_EFFORT,X148&lt;&gt;0),"Error: PDs should not be defined when defining as dev effort %.",
IF(AND(P148=AS_DURATION_EFFORT,X148&lt;&gt;0),"Error: PDs should not be defined when defining as duration effort %.","")))))</f>
        <v/>
      </c>
    </row>
    <row r="149" spans="1:30" s="9" customFormat="1" ht="7.5" customHeight="1" outlineLevel="2" x14ac:dyDescent="0.35">
      <c r="A149" s="86" t="s">
        <v>70</v>
      </c>
      <c r="B149" s="15"/>
      <c r="C149" s="72"/>
      <c r="D149" s="72"/>
      <c r="E149" s="72"/>
      <c r="F149" s="72"/>
      <c r="M149" s="252"/>
      <c r="T149" s="15"/>
      <c r="X149" s="15"/>
      <c r="AB149" s="10"/>
      <c r="AC149" s="10"/>
      <c r="AD149" s="10"/>
    </row>
    <row r="150" spans="1:30" s="14" customFormat="1" ht="15.5" customHeight="1" outlineLevel="1" x14ac:dyDescent="0.35">
      <c r="A150" s="86" t="s">
        <v>55</v>
      </c>
      <c r="B150" s="18"/>
      <c r="C150" s="77"/>
      <c r="D150" s="77"/>
      <c r="E150" s="77"/>
      <c r="F150" s="76"/>
      <c r="G150" s="29"/>
      <c r="H150" s="29"/>
      <c r="I150" s="29"/>
      <c r="J150" s="29"/>
      <c r="K150" s="29"/>
      <c r="L150" s="17">
        <f ca="1">LOOKUP(1000,INDIRECT("L1:"&amp;CELL("address",INDIRECT("R[-1]C",FALSE))))+1</f>
        <v>17</v>
      </c>
      <c r="M150" s="287" t="s">
        <v>171</v>
      </c>
      <c r="N150" s="288"/>
      <c r="O150" s="5"/>
      <c r="P150" s="30"/>
      <c r="Q150" s="30"/>
      <c r="R150" s="30"/>
      <c r="S150" s="30"/>
      <c r="T150" s="155">
        <f>IF($S$6="Exclude", SUMIFS(S151:S153, J151:J153, "&lt;&gt;Yes", G151:G153, "&lt;&gt;Yes"), SUMIFS(S151:S153, J151:J153, "&lt;&gt;Yes"))</f>
        <v>23</v>
      </c>
      <c r="U150" s="30"/>
      <c r="V150" s="30"/>
      <c r="W150" s="30"/>
      <c r="X150" s="31"/>
      <c r="Y150" s="32"/>
      <c r="Z150" s="32"/>
      <c r="AA150" s="32"/>
      <c r="AB150" s="219" t="s">
        <v>167</v>
      </c>
      <c r="AC150" s="33"/>
      <c r="AD150" s="23" t="str">
        <f>IF(M150="", "Error: Task name cannot be empty.", "")</f>
        <v/>
      </c>
    </row>
    <row r="151" spans="1:30" s="12" customFormat="1" ht="1.5" customHeight="1" outlineLevel="2" x14ac:dyDescent="0.35">
      <c r="A151" s="86" t="s">
        <v>57</v>
      </c>
      <c r="B151" s="18"/>
      <c r="C151" s="77"/>
      <c r="D151" s="77"/>
      <c r="E151" s="77"/>
      <c r="F151" s="76"/>
      <c r="G151" s="29"/>
      <c r="H151" s="29"/>
      <c r="I151" s="29"/>
      <c r="J151" s="29"/>
      <c r="K151" s="29"/>
      <c r="L151" s="163">
        <f ca="1">L150</f>
        <v>17</v>
      </c>
      <c r="M151" s="164" t="s">
        <v>58</v>
      </c>
      <c r="N151" s="161"/>
      <c r="O151" s="162"/>
      <c r="P151" s="30"/>
      <c r="Q151" s="30"/>
      <c r="R151" s="30"/>
      <c r="S151" s="30"/>
      <c r="T151" s="155"/>
      <c r="U151" s="30"/>
      <c r="V151" s="30"/>
      <c r="W151" s="30"/>
      <c r="X151" s="31"/>
      <c r="Y151" s="32"/>
      <c r="Z151" s="32"/>
      <c r="AA151" s="32"/>
      <c r="AB151" s="33"/>
      <c r="AC151" s="33"/>
      <c r="AD151" s="23"/>
    </row>
    <row r="152" spans="1:30" ht="58" customHeight="1" outlineLevel="2" x14ac:dyDescent="0.35">
      <c r="A152" s="86" t="s">
        <v>52</v>
      </c>
      <c r="B152" s="18"/>
      <c r="C152" s="78"/>
      <c r="D152" s="78"/>
      <c r="E152" s="78"/>
      <c r="F152" s="79"/>
      <c r="G152" s="19" t="s">
        <v>59</v>
      </c>
      <c r="H152" s="19" t="s">
        <v>66</v>
      </c>
      <c r="I152" s="20" t="s">
        <v>59</v>
      </c>
      <c r="J152" s="19" t="s">
        <v>59</v>
      </c>
      <c r="K152" s="35"/>
      <c r="L152" s="19"/>
      <c r="M152" s="263" t="str">
        <f ca="1">IFERROR(OFFSET(M152,-1,,1,1)+0.1,OFFSET(M152,-1,-1,1,1)&amp;".1")</f>
        <v>17.1</v>
      </c>
      <c r="N152" s="20" t="s">
        <v>213</v>
      </c>
      <c r="O152" s="20" t="s">
        <v>214</v>
      </c>
      <c r="P152" s="20"/>
      <c r="Q152" s="134"/>
      <c r="R152" s="127"/>
      <c r="S152" s="157">
        <f>CEILING((IF(J152="Yes", 0, IF(H152="-",AA152,AA152+AA152*VLOOKUP(H152,BUFFERS_BY_TYPE,2,FALSE)))) +
   (IF(J152="Yes", 0, IF(H152="-",AA152,AA152+AA152*VLOOKUP(H152,BUFFERS_BY_TYPE,2,FALSE))))*VLOOKUP($S$5, SALES_CALL_SCALE_ARRAY, 2,FALSE),0.25)</f>
        <v>23</v>
      </c>
      <c r="T152" s="158"/>
      <c r="U152" s="21">
        <v>0</v>
      </c>
      <c r="V152" s="21">
        <v>1</v>
      </c>
      <c r="W152" s="21">
        <v>0</v>
      </c>
      <c r="X152" s="156">
        <v>20</v>
      </c>
      <c r="Y152" s="157">
        <f>CEILING((IF(P152=AS_DEV_EFFORT, DEV_EFFORT*Q152%,
                           IF(P152=AS_DURATION_EFFORT, (MANUAL_DURATION*5)*Q152%,
                                    (IF(Q152&lt;=1,X152,
                                          IF(SUM(U152:W152)=0,(Q152*X152),
                                               (((Q152*U152)*(X152+(X152*EXTRA_FOR_H)))+
                                               ((Q152*V152)*X152)+
                                               ((Q152*W152)*(X152-(X152*LESS_FOR_L)))
                                    )*IF(R152=0,1,R152))))))+Z152), 0.25)</f>
        <v>20</v>
      </c>
      <c r="Z152" s="22"/>
      <c r="AA152" s="157">
        <f>Y152+Y152*VLOOKUP(I152,EXTRAS_ARRAY,2,FALSE)</f>
        <v>20</v>
      </c>
      <c r="AB152" s="20" t="s">
        <v>215</v>
      </c>
      <c r="AC152" s="34"/>
      <c r="AD152" s="23" t="str">
        <f>IF(J152&lt;&gt;"Yes",
IF(S152&lt;=0,"Error: Effort value is not defined or is invalid.",
IF(AND(SUM(U152:W152)&gt;0,SUM(U152:W152)&lt;&gt;1),"Error: Complexity % distribution should sum to 100%.",
IF(AND(P152=AS_DEV_EFFORT,X152&lt;&gt;0),"Error: PDs should not be defined when defining as dev effort %.",
IF(AND(P152=AS_DURATION_EFFORT,X152&lt;&gt;0),"Error: PDs should not be defined when defining as duration effort %.","")))))</f>
        <v/>
      </c>
    </row>
    <row r="153" spans="1:30" s="9" customFormat="1" ht="7.5" customHeight="1" outlineLevel="2" x14ac:dyDescent="0.35">
      <c r="A153" s="86" t="s">
        <v>70</v>
      </c>
      <c r="B153" s="15"/>
      <c r="C153" s="72"/>
      <c r="D153" s="72"/>
      <c r="E153" s="72"/>
      <c r="F153" s="72"/>
      <c r="M153" s="252"/>
      <c r="T153" s="15"/>
      <c r="X153" s="15"/>
      <c r="AB153" s="10"/>
      <c r="AC153" s="10"/>
      <c r="AD153" s="10"/>
    </row>
    <row r="154" spans="1:30" s="14" customFormat="1" ht="15.5" customHeight="1" outlineLevel="1" x14ac:dyDescent="0.35">
      <c r="A154" s="86" t="s">
        <v>55</v>
      </c>
      <c r="B154" s="18"/>
      <c r="C154" s="77"/>
      <c r="D154" s="77"/>
      <c r="E154" s="77"/>
      <c r="F154" s="76"/>
      <c r="G154" s="29"/>
      <c r="H154" s="29"/>
      <c r="I154" s="29"/>
      <c r="J154" s="29"/>
      <c r="K154" s="29"/>
      <c r="L154" s="17">
        <f ca="1">LOOKUP(1000,INDIRECT("L1:"&amp;CELL("address",INDIRECT("R[-1]C",FALSE))))+1</f>
        <v>18</v>
      </c>
      <c r="M154" s="287" t="s">
        <v>175</v>
      </c>
      <c r="N154" s="288"/>
      <c r="O154" s="5"/>
      <c r="P154" s="30"/>
      <c r="Q154" s="30"/>
      <c r="R154" s="30"/>
      <c r="S154" s="30"/>
      <c r="T154" s="155">
        <f>IF($S$6="Exclude", SUMIFS(S155:S157, J155:J157, "&lt;&gt;Yes", G155:G157, "&lt;&gt;Yes"), SUMIFS(S155:S157, J155:J157, "&lt;&gt;Yes"))</f>
        <v>9.25</v>
      </c>
      <c r="U154" s="30"/>
      <c r="V154" s="30"/>
      <c r="W154" s="30"/>
      <c r="X154" s="31"/>
      <c r="Y154" s="32"/>
      <c r="Z154" s="32"/>
      <c r="AA154" s="32"/>
      <c r="AB154" s="219" t="s">
        <v>167</v>
      </c>
      <c r="AC154" s="33"/>
      <c r="AD154" s="23" t="str">
        <f>IF(M154="", "Error: Task name cannot be empty.", "")</f>
        <v/>
      </c>
    </row>
    <row r="155" spans="1:30" s="12" customFormat="1" ht="1.5" customHeight="1" outlineLevel="2" x14ac:dyDescent="0.35">
      <c r="A155" s="86" t="s">
        <v>57</v>
      </c>
      <c r="B155" s="18"/>
      <c r="C155" s="77"/>
      <c r="D155" s="77"/>
      <c r="E155" s="77"/>
      <c r="F155" s="76"/>
      <c r="G155" s="29"/>
      <c r="H155" s="29"/>
      <c r="I155" s="29"/>
      <c r="J155" s="29"/>
      <c r="K155" s="29"/>
      <c r="L155" s="163">
        <f ca="1">L154</f>
        <v>18</v>
      </c>
      <c r="M155" s="164" t="s">
        <v>58</v>
      </c>
      <c r="N155" s="161"/>
      <c r="O155" s="162"/>
      <c r="P155" s="30"/>
      <c r="Q155" s="30"/>
      <c r="R155" s="30"/>
      <c r="S155" s="30"/>
      <c r="T155" s="155"/>
      <c r="U155" s="30"/>
      <c r="V155" s="30"/>
      <c r="W155" s="30"/>
      <c r="X155" s="31"/>
      <c r="Y155" s="32"/>
      <c r="Z155" s="32"/>
      <c r="AA155" s="32"/>
      <c r="AB155" s="33"/>
      <c r="AC155" s="33"/>
      <c r="AD155" s="23"/>
    </row>
    <row r="156" spans="1:30" ht="72.5" customHeight="1" outlineLevel="2" x14ac:dyDescent="0.35">
      <c r="A156" s="86" t="s">
        <v>52</v>
      </c>
      <c r="B156" s="18"/>
      <c r="C156" s="78"/>
      <c r="D156" s="78"/>
      <c r="E156" s="78"/>
      <c r="F156" s="79"/>
      <c r="G156" s="19" t="s">
        <v>59</v>
      </c>
      <c r="H156" s="19" t="s">
        <v>66</v>
      </c>
      <c r="I156" s="20" t="s">
        <v>59</v>
      </c>
      <c r="J156" s="19" t="s">
        <v>59</v>
      </c>
      <c r="K156" s="35"/>
      <c r="L156" s="19"/>
      <c r="M156" s="263" t="str">
        <f ca="1">IFERROR(OFFSET(M156,-1,,1,1)+0.1,OFFSET(M156,-1,-1,1,1)&amp;".1")</f>
        <v>18.1</v>
      </c>
      <c r="N156" s="20" t="s">
        <v>216</v>
      </c>
      <c r="O156" s="20" t="s">
        <v>217</v>
      </c>
      <c r="P156" s="20"/>
      <c r="Q156" s="134"/>
      <c r="R156" s="127"/>
      <c r="S156" s="157">
        <f>CEILING((IF(J156="Yes", 0, IF(H156="-",AA156,AA156+AA156*VLOOKUP(H156,BUFFERS_BY_TYPE,2,FALSE)))) +
   (IF(J156="Yes", 0, IF(H156="-",AA156,AA156+AA156*VLOOKUP(H156,BUFFERS_BY_TYPE,2,FALSE))))*VLOOKUP($S$5, SALES_CALL_SCALE_ARRAY, 2,FALSE),0.25)</f>
        <v>9.25</v>
      </c>
      <c r="T156" s="158"/>
      <c r="U156" s="21">
        <v>0</v>
      </c>
      <c r="V156" s="21">
        <v>1</v>
      </c>
      <c r="W156" s="21">
        <v>0</v>
      </c>
      <c r="X156" s="156">
        <v>8</v>
      </c>
      <c r="Y156" s="157">
        <f>CEILING((IF(P156=AS_DEV_EFFORT, DEV_EFFORT*Q156%,
                           IF(P156=AS_DURATION_EFFORT, (MANUAL_DURATION*5)*Q156%,
                                    (IF(Q156&lt;=1,X156,
                                          IF(SUM(U156:W156)=0,(Q156*X156),
                                               (((Q156*U156)*(X156+(X156*EXTRA_FOR_H)))+
                                               ((Q156*V156)*X156)+
                                               ((Q156*W156)*(X156-(X156*LESS_FOR_L)))
                                    )*IF(R156=0,1,R156))))))+Z156), 0.25)</f>
        <v>8</v>
      </c>
      <c r="Z156" s="22"/>
      <c r="AA156" s="157">
        <f>Y156+Y156*VLOOKUP(I156,EXTRAS_ARRAY,2,FALSE)</f>
        <v>8</v>
      </c>
      <c r="AB156" s="20" t="s">
        <v>218</v>
      </c>
      <c r="AC156" s="34"/>
      <c r="AD156" s="23" t="str">
        <f>IF(J156&lt;&gt;"Yes",
IF(S156&lt;=0,"Error: Effort value is not defined or is invalid.",
IF(AND(SUM(U156:W156)&gt;0,SUM(U156:W156)&lt;&gt;1),"Error: Complexity % distribution should sum to 100%.",
IF(AND(P156=AS_DEV_EFFORT,X156&lt;&gt;0),"Error: PDs should not be defined when defining as dev effort %.",
IF(AND(P156=AS_DURATION_EFFORT,X156&lt;&gt;0),"Error: PDs should not be defined when defining as duration effort %.","")))))</f>
        <v/>
      </c>
    </row>
    <row r="157" spans="1:30" s="9" customFormat="1" ht="7.5" customHeight="1" outlineLevel="2" x14ac:dyDescent="0.35">
      <c r="A157" s="86" t="s">
        <v>70</v>
      </c>
      <c r="B157" s="15"/>
      <c r="C157" s="72"/>
      <c r="D157" s="72"/>
      <c r="E157" s="72"/>
      <c r="F157" s="72"/>
      <c r="M157" s="252"/>
      <c r="T157" s="15"/>
      <c r="X157" s="15"/>
      <c r="AB157" s="10"/>
      <c r="AC157" s="10"/>
      <c r="AD157" s="10"/>
    </row>
    <row r="158" spans="1:30" s="14" customFormat="1" ht="15.5" customHeight="1" outlineLevel="1" x14ac:dyDescent="0.35">
      <c r="A158" s="86" t="s">
        <v>55</v>
      </c>
      <c r="B158" s="18"/>
      <c r="C158" s="77"/>
      <c r="D158" s="77"/>
      <c r="E158" s="77"/>
      <c r="F158" s="76"/>
      <c r="G158" s="29"/>
      <c r="H158" s="29"/>
      <c r="I158" s="29"/>
      <c r="J158" s="29"/>
      <c r="K158" s="29"/>
      <c r="L158" s="17">
        <f ca="1">LOOKUP(1000,INDIRECT("L1:"&amp;CELL("address",INDIRECT("R[-1]C",FALSE))))+1</f>
        <v>19</v>
      </c>
      <c r="M158" s="287" t="s">
        <v>179</v>
      </c>
      <c r="N158" s="288"/>
      <c r="O158" s="5"/>
      <c r="P158" s="30"/>
      <c r="Q158" s="30"/>
      <c r="R158" s="30"/>
      <c r="S158" s="30"/>
      <c r="T158" s="155">
        <f>IF($S$6="Exclude", SUMIFS(S159:S161, J159:J161, "&lt;&gt;Yes", G159:G161, "&lt;&gt;Yes"), SUMIFS(S159:S161, J159:J161, "&lt;&gt;Yes"))</f>
        <v>5.5</v>
      </c>
      <c r="U158" s="30"/>
      <c r="V158" s="30"/>
      <c r="W158" s="30"/>
      <c r="X158" s="31"/>
      <c r="Y158" s="32"/>
      <c r="Z158" s="32"/>
      <c r="AA158" s="32"/>
      <c r="AB158" s="219" t="s">
        <v>167</v>
      </c>
      <c r="AC158" s="33"/>
      <c r="AD158" s="23" t="str">
        <f>IF(M158="", "Error: Task name cannot be empty.", "")</f>
        <v/>
      </c>
    </row>
    <row r="159" spans="1:30" s="12" customFormat="1" ht="1.5" customHeight="1" outlineLevel="2" x14ac:dyDescent="0.35">
      <c r="A159" s="86" t="s">
        <v>57</v>
      </c>
      <c r="B159" s="18"/>
      <c r="C159" s="77"/>
      <c r="D159" s="77"/>
      <c r="E159" s="77"/>
      <c r="F159" s="76"/>
      <c r="G159" s="29"/>
      <c r="H159" s="29"/>
      <c r="I159" s="29"/>
      <c r="J159" s="29"/>
      <c r="K159" s="29"/>
      <c r="L159" s="163">
        <f ca="1">L158</f>
        <v>19</v>
      </c>
      <c r="M159" s="164" t="s">
        <v>58</v>
      </c>
      <c r="N159" s="161"/>
      <c r="O159" s="162"/>
      <c r="P159" s="30"/>
      <c r="Q159" s="30"/>
      <c r="R159" s="30"/>
      <c r="S159" s="30"/>
      <c r="T159" s="155"/>
      <c r="U159" s="30"/>
      <c r="V159" s="30"/>
      <c r="W159" s="30"/>
      <c r="X159" s="31"/>
      <c r="Y159" s="32"/>
      <c r="Z159" s="32"/>
      <c r="AA159" s="32"/>
      <c r="AB159" s="33"/>
      <c r="AC159" s="33"/>
      <c r="AD159" s="23"/>
    </row>
    <row r="160" spans="1:30" ht="29" customHeight="1" outlineLevel="2" x14ac:dyDescent="0.35">
      <c r="A160" s="86" t="s">
        <v>52</v>
      </c>
      <c r="B160" s="18"/>
      <c r="C160" s="78"/>
      <c r="D160" s="78"/>
      <c r="E160" s="78"/>
      <c r="F160" s="79"/>
      <c r="G160" s="19" t="s">
        <v>59</v>
      </c>
      <c r="H160" s="19" t="s">
        <v>60</v>
      </c>
      <c r="I160" s="20" t="s">
        <v>59</v>
      </c>
      <c r="J160" s="19" t="s">
        <v>59</v>
      </c>
      <c r="K160" s="35"/>
      <c r="L160" s="19"/>
      <c r="M160" s="263" t="str">
        <f ca="1">IFERROR(OFFSET(M160,-1,,1,1)+0.1,OFFSET(M160,-1,-1,1,1)&amp;".1")</f>
        <v>19.1</v>
      </c>
      <c r="N160" s="20" t="s">
        <v>219</v>
      </c>
      <c r="O160" s="20" t="s">
        <v>220</v>
      </c>
      <c r="P160" s="20"/>
      <c r="Q160" s="134"/>
      <c r="R160" s="127"/>
      <c r="S160" s="157">
        <f>CEILING((IF(J160="Yes", 0, IF(H160="-",AA160,AA160+AA160*VLOOKUP(H160,BUFFERS_BY_TYPE,2,FALSE)))) +
   (IF(J160="Yes", 0, IF(H160="-",AA160,AA160+AA160*VLOOKUP(H160,BUFFERS_BY_TYPE,2,FALSE))))*VLOOKUP($S$5, SALES_CALL_SCALE_ARRAY, 2,FALSE),0.25)</f>
        <v>5.5</v>
      </c>
      <c r="T160" s="158"/>
      <c r="U160" s="21">
        <v>0</v>
      </c>
      <c r="V160" s="21">
        <v>1</v>
      </c>
      <c r="W160" s="21">
        <v>0</v>
      </c>
      <c r="X160" s="156">
        <v>5</v>
      </c>
      <c r="Y160" s="157">
        <f>CEILING((IF(P160=AS_DEV_EFFORT, DEV_EFFORT*Q160%,
                           IF(P160=AS_DURATION_EFFORT, (MANUAL_DURATION*5)*Q160%,
                                    (IF(Q160&lt;=1,X160,
                                          IF(SUM(U160:W160)=0,(Q160*X160),
                                               (((Q160*U160)*(X160+(X160*EXTRA_FOR_H)))+
                                               ((Q160*V160)*X160)+
                                               ((Q160*W160)*(X160-(X160*LESS_FOR_L)))
                                    )*IF(R160=0,1,R160))))))+Z160), 0.25)</f>
        <v>5</v>
      </c>
      <c r="Z160" s="22"/>
      <c r="AA160" s="157">
        <f>Y160+Y160*VLOOKUP(I160,EXTRAS_ARRAY,2,FALSE)</f>
        <v>5</v>
      </c>
      <c r="AB160" s="20" t="s">
        <v>221</v>
      </c>
      <c r="AC160" s="34"/>
      <c r="AD160" s="23" t="str">
        <f>IF(J160&lt;&gt;"Yes",
IF(S160&lt;=0,"Error: Effort value is not defined or is invalid.",
IF(AND(SUM(U160:W160)&gt;0,SUM(U160:W160)&lt;&gt;1),"Error: Complexity % distribution should sum to 100%.",
IF(AND(P160=AS_DEV_EFFORT,X160&lt;&gt;0),"Error: PDs should not be defined when defining as dev effort %.",
IF(AND(P160=AS_DURATION_EFFORT,X160&lt;&gt;0),"Error: PDs should not be defined when defining as duration effort %.","")))))</f>
        <v/>
      </c>
    </row>
    <row r="161" spans="1:30" s="9" customFormat="1" ht="7.5" customHeight="1" outlineLevel="2" x14ac:dyDescent="0.35">
      <c r="A161" s="86" t="s">
        <v>70</v>
      </c>
      <c r="B161" s="15"/>
      <c r="C161" s="72"/>
      <c r="D161" s="72"/>
      <c r="E161" s="72"/>
      <c r="F161" s="72"/>
      <c r="M161" s="252"/>
      <c r="T161" s="15"/>
      <c r="X161" s="15"/>
      <c r="AB161" s="10"/>
      <c r="AC161" s="10"/>
      <c r="AD161" s="10"/>
    </row>
    <row r="162" spans="1:30" s="14" customFormat="1" ht="15.5" customHeight="1" outlineLevel="1" x14ac:dyDescent="0.35">
      <c r="A162" s="86" t="s">
        <v>55</v>
      </c>
      <c r="B162" s="18"/>
      <c r="C162" s="77"/>
      <c r="D162" s="77"/>
      <c r="E162" s="77"/>
      <c r="F162" s="76"/>
      <c r="G162" s="29"/>
      <c r="H162" s="29"/>
      <c r="I162" s="29"/>
      <c r="J162" s="29"/>
      <c r="K162" s="29"/>
      <c r="L162" s="17">
        <f ca="1">LOOKUP(1000,INDIRECT("L1:"&amp;CELL("address",INDIRECT("R[-1]C",FALSE))))+1</f>
        <v>20</v>
      </c>
      <c r="M162" s="287" t="s">
        <v>183</v>
      </c>
      <c r="N162" s="288"/>
      <c r="O162" s="5"/>
      <c r="P162" s="30"/>
      <c r="Q162" s="30"/>
      <c r="R162" s="30"/>
      <c r="S162" s="30"/>
      <c r="T162" s="155">
        <f>IF($S$6="Exclude", SUMIFS(S163:S165, J163:J165, "&lt;&gt;Yes", G163:G165, "&lt;&gt;Yes"), SUMIFS(S163:S165, J163:J165, "&lt;&gt;Yes"))</f>
        <v>4.5</v>
      </c>
      <c r="U162" s="30"/>
      <c r="V162" s="30"/>
      <c r="W162" s="30"/>
      <c r="X162" s="31"/>
      <c r="Y162" s="32"/>
      <c r="Z162" s="32"/>
      <c r="AA162" s="32"/>
      <c r="AB162" s="219" t="s">
        <v>167</v>
      </c>
      <c r="AC162" s="33"/>
      <c r="AD162" s="23" t="str">
        <f>IF(M162="", "Error: Task name cannot be empty.", "")</f>
        <v/>
      </c>
    </row>
    <row r="163" spans="1:30" s="12" customFormat="1" ht="1.5" customHeight="1" outlineLevel="2" x14ac:dyDescent="0.35">
      <c r="A163" s="86" t="s">
        <v>57</v>
      </c>
      <c r="B163" s="18"/>
      <c r="C163" s="77"/>
      <c r="D163" s="77"/>
      <c r="E163" s="77"/>
      <c r="F163" s="76"/>
      <c r="G163" s="29"/>
      <c r="H163" s="29"/>
      <c r="I163" s="29"/>
      <c r="J163" s="29"/>
      <c r="K163" s="29"/>
      <c r="L163" s="163">
        <f ca="1">L162</f>
        <v>20</v>
      </c>
      <c r="M163" s="164" t="s">
        <v>58</v>
      </c>
      <c r="N163" s="161"/>
      <c r="O163" s="162"/>
      <c r="P163" s="30"/>
      <c r="Q163" s="30"/>
      <c r="R163" s="30"/>
      <c r="S163" s="30"/>
      <c r="T163" s="155"/>
      <c r="U163" s="30"/>
      <c r="V163" s="30"/>
      <c r="W163" s="30"/>
      <c r="X163" s="31"/>
      <c r="Y163" s="32"/>
      <c r="Z163" s="32"/>
      <c r="AA163" s="32"/>
      <c r="AB163" s="33"/>
      <c r="AC163" s="33"/>
      <c r="AD163" s="23"/>
    </row>
    <row r="164" spans="1:30" ht="29" customHeight="1" outlineLevel="2" x14ac:dyDescent="0.35">
      <c r="A164" s="86" t="s">
        <v>52</v>
      </c>
      <c r="B164" s="18"/>
      <c r="C164" s="78"/>
      <c r="D164" s="78"/>
      <c r="E164" s="78"/>
      <c r="F164" s="79"/>
      <c r="G164" s="19" t="s">
        <v>59</v>
      </c>
      <c r="H164" s="19" t="s">
        <v>60</v>
      </c>
      <c r="I164" s="20" t="s">
        <v>59</v>
      </c>
      <c r="J164" s="19" t="s">
        <v>59</v>
      </c>
      <c r="K164" s="35"/>
      <c r="L164" s="19"/>
      <c r="M164" s="263" t="str">
        <f ca="1">IFERROR(OFFSET(M164,-1,,1,1)+0.1,OFFSET(M164,-1,-1,1,1)&amp;".1")</f>
        <v>20.1</v>
      </c>
      <c r="N164" s="20" t="s">
        <v>222</v>
      </c>
      <c r="O164" s="20" t="s">
        <v>223</v>
      </c>
      <c r="P164" s="20"/>
      <c r="Q164" s="134"/>
      <c r="R164" s="127"/>
      <c r="S164" s="157">
        <f>CEILING((IF(J164="Yes", 0, IF(H164="-",AA164,AA164+AA164*VLOOKUP(H164,BUFFERS_BY_TYPE,2,FALSE)))) +
   (IF(J164="Yes", 0, IF(H164="-",AA164,AA164+AA164*VLOOKUP(H164,BUFFERS_BY_TYPE,2,FALSE))))*VLOOKUP($S$5, SALES_CALL_SCALE_ARRAY, 2,FALSE),0.25)</f>
        <v>4.5</v>
      </c>
      <c r="T164" s="158"/>
      <c r="U164" s="21">
        <v>0</v>
      </c>
      <c r="V164" s="21">
        <v>1</v>
      </c>
      <c r="W164" s="21">
        <v>0</v>
      </c>
      <c r="X164" s="156">
        <v>4</v>
      </c>
      <c r="Y164" s="157">
        <f>CEILING((IF(P164=AS_DEV_EFFORT, DEV_EFFORT*Q164%,
                           IF(P164=AS_DURATION_EFFORT, (MANUAL_DURATION*5)*Q164%,
                                    (IF(Q164&lt;=1,X164,
                                          IF(SUM(U164:W164)=0,(Q164*X164),
                                               (((Q164*U164)*(X164+(X164*EXTRA_FOR_H)))+
                                               ((Q164*V164)*X164)+
                                               ((Q164*W164)*(X164-(X164*LESS_FOR_L)))
                                    )*IF(R164=0,1,R164))))))+Z164), 0.25)</f>
        <v>4</v>
      </c>
      <c r="Z164" s="22"/>
      <c r="AA164" s="157">
        <f>Y164+Y164*VLOOKUP(I164,EXTRAS_ARRAY,2,FALSE)</f>
        <v>4</v>
      </c>
      <c r="AB164" s="20" t="s">
        <v>224</v>
      </c>
      <c r="AC164" s="34"/>
      <c r="AD164" s="23" t="str">
        <f>IF(J164&lt;&gt;"Yes",
IF(S164&lt;=0,"Error: Effort value is not defined or is invalid.",
IF(AND(SUM(U164:W164)&gt;0,SUM(U164:W164)&lt;&gt;1),"Error: Complexity % distribution should sum to 100%.",
IF(AND(P164=AS_DEV_EFFORT,X164&lt;&gt;0),"Error: PDs should not be defined when defining as dev effort %.",
IF(AND(P164=AS_DURATION_EFFORT,X164&lt;&gt;0),"Error: PDs should not be defined when defining as duration effort %.","")))))</f>
        <v/>
      </c>
    </row>
    <row r="165" spans="1:30" s="9" customFormat="1" ht="7.5" customHeight="1" outlineLevel="2" x14ac:dyDescent="0.35">
      <c r="A165" s="86" t="s">
        <v>70</v>
      </c>
      <c r="B165" s="15"/>
      <c r="C165" s="72"/>
      <c r="D165" s="72"/>
      <c r="E165" s="72"/>
      <c r="F165" s="72"/>
      <c r="M165" s="252"/>
      <c r="T165" s="15"/>
      <c r="X165" s="15"/>
      <c r="AB165" s="10"/>
      <c r="AC165" s="10"/>
      <c r="AD165" s="10"/>
    </row>
    <row r="166" spans="1:30" s="14" customFormat="1" ht="15.5" customHeight="1" outlineLevel="1" x14ac:dyDescent="0.35">
      <c r="A166" s="86" t="s">
        <v>161</v>
      </c>
      <c r="B166" s="18"/>
      <c r="C166" s="77"/>
      <c r="D166" s="77"/>
      <c r="E166" s="77"/>
      <c r="F166" s="76"/>
      <c r="G166" s="170"/>
      <c r="H166" s="170"/>
      <c r="I166" s="170"/>
      <c r="J166" s="170"/>
      <c r="K166" s="170"/>
      <c r="L166" s="85" t="s">
        <v>23</v>
      </c>
      <c r="M166" s="296" t="s">
        <v>225</v>
      </c>
      <c r="N166" s="288"/>
      <c r="O166" s="80"/>
      <c r="P166" s="81"/>
      <c r="Q166" s="81"/>
      <c r="R166" s="81"/>
      <c r="S166" s="291">
        <f>SUMGROUP(ROW(), "T")</f>
        <v>39.5</v>
      </c>
      <c r="T166" s="292"/>
      <c r="U166" s="295"/>
      <c r="V166" s="288"/>
      <c r="W166" s="288"/>
      <c r="X166" s="82"/>
      <c r="Y166" s="83"/>
      <c r="Z166" s="83"/>
      <c r="AA166" s="83"/>
      <c r="AB166" s="221"/>
      <c r="AC166" s="84"/>
      <c r="AD166" s="23" t="str">
        <f>IF(M166="", "Error: Module name cannot be empty.", "")</f>
        <v/>
      </c>
    </row>
    <row r="167" spans="1:30" s="14" customFormat="1" ht="15.5" customHeight="1" outlineLevel="1" x14ac:dyDescent="0.35">
      <c r="A167" s="86" t="s">
        <v>55</v>
      </c>
      <c r="B167" s="18"/>
      <c r="C167" s="77"/>
      <c r="D167" s="77"/>
      <c r="E167" s="77"/>
      <c r="F167" s="76"/>
      <c r="G167" s="29"/>
      <c r="H167" s="29"/>
      <c r="I167" s="29"/>
      <c r="J167" s="29"/>
      <c r="K167" s="29"/>
      <c r="L167" s="17">
        <f ca="1">LOOKUP(1000,INDIRECT("L1:"&amp;CELL("address",INDIRECT("R[-1]C",FALSE))))+1</f>
        <v>21</v>
      </c>
      <c r="M167" s="287" t="s">
        <v>163</v>
      </c>
      <c r="N167" s="288"/>
      <c r="O167" s="5"/>
      <c r="P167" s="30"/>
      <c r="Q167" s="30"/>
      <c r="R167" s="30"/>
      <c r="S167" s="30"/>
      <c r="T167" s="155">
        <f>IF($S$6="Exclude", SUMIFS(S168:S170, J168:J170, "&lt;&gt;Yes", G168:G170, "&lt;&gt;Yes"), SUMIFS(S168:S170, J168:J170, "&lt;&gt;Yes"))</f>
        <v>7</v>
      </c>
      <c r="U167" s="30"/>
      <c r="V167" s="30"/>
      <c r="W167" s="30"/>
      <c r="X167" s="31"/>
      <c r="Y167" s="32"/>
      <c r="Z167" s="32"/>
      <c r="AA167" s="32"/>
      <c r="AB167" s="219" t="s">
        <v>167</v>
      </c>
      <c r="AC167" s="33"/>
      <c r="AD167" s="23" t="str">
        <f>IF(M167="", "Error: Task name cannot be empty.", "")</f>
        <v/>
      </c>
    </row>
    <row r="168" spans="1:30" s="12" customFormat="1" ht="1.5" customHeight="1" outlineLevel="2" x14ac:dyDescent="0.35">
      <c r="A168" s="86" t="s">
        <v>57</v>
      </c>
      <c r="B168" s="18"/>
      <c r="C168" s="77"/>
      <c r="D168" s="77"/>
      <c r="E168" s="77"/>
      <c r="F168" s="76"/>
      <c r="G168" s="29"/>
      <c r="H168" s="29"/>
      <c r="I168" s="29"/>
      <c r="J168" s="29"/>
      <c r="K168" s="29"/>
      <c r="L168" s="163">
        <f ca="1">L167</f>
        <v>21</v>
      </c>
      <c r="M168" s="164" t="s">
        <v>58</v>
      </c>
      <c r="N168" s="161"/>
      <c r="O168" s="162"/>
      <c r="P168" s="30"/>
      <c r="Q168" s="30"/>
      <c r="R168" s="30"/>
      <c r="S168" s="30"/>
      <c r="T168" s="155"/>
      <c r="U168" s="30"/>
      <c r="V168" s="30"/>
      <c r="W168" s="30"/>
      <c r="X168" s="31"/>
      <c r="Y168" s="32"/>
      <c r="Z168" s="32"/>
      <c r="AA168" s="32"/>
      <c r="AB168" s="33"/>
      <c r="AC168" s="33"/>
      <c r="AD168" s="23"/>
    </row>
    <row r="169" spans="1:30" ht="43.5" customHeight="1" outlineLevel="2" x14ac:dyDescent="0.35">
      <c r="A169" s="86" t="s">
        <v>52</v>
      </c>
      <c r="B169" s="18"/>
      <c r="C169" s="78"/>
      <c r="D169" s="78"/>
      <c r="E169" s="78"/>
      <c r="F169" s="79"/>
      <c r="G169" s="19" t="s">
        <v>59</v>
      </c>
      <c r="H169" s="19" t="s">
        <v>66</v>
      </c>
      <c r="I169" s="20" t="s">
        <v>59</v>
      </c>
      <c r="J169" s="19" t="s">
        <v>59</v>
      </c>
      <c r="K169" s="35"/>
      <c r="L169" s="19"/>
      <c r="M169" s="263" t="str">
        <f ca="1">IFERROR(OFFSET(M169,-1,,1,1)+0.1,OFFSET(M169,-1,-1,1,1)&amp;".1")</f>
        <v>21.1</v>
      </c>
      <c r="N169" s="20" t="s">
        <v>226</v>
      </c>
      <c r="O169" s="20" t="s">
        <v>227</v>
      </c>
      <c r="P169" s="20"/>
      <c r="Q169" s="134"/>
      <c r="R169" s="127"/>
      <c r="S169" s="157">
        <f>CEILING((IF(J169="Yes", 0, IF(H169="-",AA169,AA169+AA169*VLOOKUP(H169,BUFFERS_BY_TYPE,2,FALSE)))) +
   (IF(J169="Yes", 0, IF(H169="-",AA169,AA169+AA169*VLOOKUP(H169,BUFFERS_BY_TYPE,2,FALSE))))*VLOOKUP($S$5, SALES_CALL_SCALE_ARRAY, 2,FALSE),0.25)</f>
        <v>7</v>
      </c>
      <c r="T169" s="158"/>
      <c r="U169" s="21">
        <v>0</v>
      </c>
      <c r="V169" s="21">
        <v>1</v>
      </c>
      <c r="W169" s="21">
        <v>0</v>
      </c>
      <c r="X169" s="156">
        <v>6</v>
      </c>
      <c r="Y169" s="157">
        <f>CEILING((IF(P169=AS_DEV_EFFORT, DEV_EFFORT*Q169%,
                           IF(P169=AS_DURATION_EFFORT, (MANUAL_DURATION*5)*Q169%,
                                    (IF(Q169&lt;=1,X169,
                                          IF(SUM(U169:W169)=0,(Q169*X169),
                                               (((Q169*U169)*(X169+(X169*EXTRA_FOR_H)))+
                                               ((Q169*V169)*X169)+
                                               ((Q169*W169)*(X169-(X169*LESS_FOR_L)))
                                    )*IF(R169=0,1,R169))))))+Z169), 0.25)</f>
        <v>6</v>
      </c>
      <c r="Z169" s="22"/>
      <c r="AA169" s="157">
        <f>Y169+Y169*VLOOKUP(I169,EXTRAS_ARRAY,2,FALSE)</f>
        <v>6</v>
      </c>
      <c r="AB169" s="20" t="s">
        <v>228</v>
      </c>
      <c r="AC169" s="34"/>
      <c r="AD169" s="23" t="str">
        <f>IF(J169&lt;&gt;"Yes",
IF(S169&lt;=0,"Error: Effort value is not defined or is invalid.",
IF(AND(SUM(U169:W169)&gt;0,SUM(U169:W169)&lt;&gt;1),"Error: Complexity % distribution should sum to 100%.",
IF(AND(P169=AS_DEV_EFFORT,X169&lt;&gt;0),"Error: PDs should not be defined when defining as dev effort %.",
IF(AND(P169=AS_DURATION_EFFORT,X169&lt;&gt;0),"Error: PDs should not be defined when defining as duration effort %.","")))))</f>
        <v/>
      </c>
    </row>
    <row r="170" spans="1:30" s="9" customFormat="1" ht="7.5" customHeight="1" outlineLevel="2" x14ac:dyDescent="0.35">
      <c r="A170" s="86" t="s">
        <v>70</v>
      </c>
      <c r="B170" s="15"/>
      <c r="C170" s="72"/>
      <c r="D170" s="72"/>
      <c r="E170" s="72"/>
      <c r="F170" s="72"/>
      <c r="M170" s="252"/>
      <c r="T170" s="15"/>
      <c r="X170" s="15"/>
      <c r="AB170" s="10"/>
      <c r="AC170" s="10"/>
      <c r="AD170" s="10"/>
    </row>
    <row r="171" spans="1:30" s="14" customFormat="1" ht="15.5" customHeight="1" outlineLevel="1" x14ac:dyDescent="0.35">
      <c r="A171" s="86" t="s">
        <v>55</v>
      </c>
      <c r="B171" s="18"/>
      <c r="C171" s="77"/>
      <c r="D171" s="77"/>
      <c r="E171" s="77"/>
      <c r="F171" s="76"/>
      <c r="G171" s="29"/>
      <c r="H171" s="29"/>
      <c r="I171" s="29"/>
      <c r="J171" s="29"/>
      <c r="K171" s="29"/>
      <c r="L171" s="17">
        <f ca="1">LOOKUP(1000,INDIRECT("L1:"&amp;CELL("address",INDIRECT("R[-1]C",FALSE))))+1</f>
        <v>22</v>
      </c>
      <c r="M171" s="287" t="s">
        <v>166</v>
      </c>
      <c r="N171" s="288"/>
      <c r="O171" s="5"/>
      <c r="P171" s="30"/>
      <c r="Q171" s="30"/>
      <c r="R171" s="30"/>
      <c r="S171" s="30"/>
      <c r="T171" s="155">
        <f>IF($S$6="Exclude", SUMIFS(S172:S174, J172:J174, "&lt;&gt;Yes", G172:G174, "&lt;&gt;Yes"), SUMIFS(S172:S174, J172:J174, "&lt;&gt;Yes"))</f>
        <v>4.5</v>
      </c>
      <c r="U171" s="30"/>
      <c r="V171" s="30"/>
      <c r="W171" s="30"/>
      <c r="X171" s="31"/>
      <c r="Y171" s="32"/>
      <c r="Z171" s="32"/>
      <c r="AA171" s="32"/>
      <c r="AB171" s="219" t="s">
        <v>167</v>
      </c>
      <c r="AC171" s="33"/>
      <c r="AD171" s="23" t="str">
        <f>IF(M171="", "Error: Task name cannot be empty.", "")</f>
        <v/>
      </c>
    </row>
    <row r="172" spans="1:30" s="12" customFormat="1" ht="1.5" customHeight="1" outlineLevel="2" x14ac:dyDescent="0.35">
      <c r="A172" s="86" t="s">
        <v>57</v>
      </c>
      <c r="B172" s="18"/>
      <c r="C172" s="77"/>
      <c r="D172" s="77"/>
      <c r="E172" s="77"/>
      <c r="F172" s="76"/>
      <c r="G172" s="29"/>
      <c r="H172" s="29"/>
      <c r="I172" s="29"/>
      <c r="J172" s="29"/>
      <c r="K172" s="29"/>
      <c r="L172" s="163">
        <f ca="1">L171</f>
        <v>22</v>
      </c>
      <c r="M172" s="164" t="s">
        <v>58</v>
      </c>
      <c r="N172" s="161"/>
      <c r="O172" s="162"/>
      <c r="P172" s="30"/>
      <c r="Q172" s="30"/>
      <c r="R172" s="30"/>
      <c r="S172" s="30"/>
      <c r="T172" s="155"/>
      <c r="U172" s="30"/>
      <c r="V172" s="30"/>
      <c r="W172" s="30"/>
      <c r="X172" s="31"/>
      <c r="Y172" s="32"/>
      <c r="Z172" s="32"/>
      <c r="AA172" s="32"/>
      <c r="AB172" s="33"/>
      <c r="AC172" s="33"/>
      <c r="AD172" s="23"/>
    </row>
    <row r="173" spans="1:30" ht="43.5" customHeight="1" outlineLevel="2" x14ac:dyDescent="0.35">
      <c r="A173" s="86" t="s">
        <v>52</v>
      </c>
      <c r="B173" s="18"/>
      <c r="C173" s="78"/>
      <c r="D173" s="78"/>
      <c r="E173" s="78"/>
      <c r="F173" s="79"/>
      <c r="G173" s="19" t="s">
        <v>59</v>
      </c>
      <c r="H173" s="19" t="s">
        <v>60</v>
      </c>
      <c r="I173" s="20" t="s">
        <v>59</v>
      </c>
      <c r="J173" s="19" t="s">
        <v>59</v>
      </c>
      <c r="K173" s="35"/>
      <c r="L173" s="19"/>
      <c r="M173" s="263" t="str">
        <f ca="1">IFERROR(OFFSET(M173,-1,,1,1)+0.1,OFFSET(M173,-1,-1,1,1)&amp;".1")</f>
        <v>22.1</v>
      </c>
      <c r="N173" s="20" t="s">
        <v>229</v>
      </c>
      <c r="O173" s="20" t="s">
        <v>230</v>
      </c>
      <c r="P173" s="20"/>
      <c r="Q173" s="134"/>
      <c r="R173" s="127"/>
      <c r="S173" s="157">
        <f>CEILING((IF(J173="Yes", 0, IF(H173="-",AA173,AA173+AA173*VLOOKUP(H173,BUFFERS_BY_TYPE,2,FALSE)))) +
   (IF(J173="Yes", 0, IF(H173="-",AA173,AA173+AA173*VLOOKUP(H173,BUFFERS_BY_TYPE,2,FALSE))))*VLOOKUP($S$5, SALES_CALL_SCALE_ARRAY, 2,FALSE),0.25)</f>
        <v>4.5</v>
      </c>
      <c r="T173" s="158"/>
      <c r="U173" s="21">
        <v>0</v>
      </c>
      <c r="V173" s="21">
        <v>1</v>
      </c>
      <c r="W173" s="21">
        <v>0</v>
      </c>
      <c r="X173" s="156">
        <v>4</v>
      </c>
      <c r="Y173" s="157">
        <f>CEILING((IF(P173=AS_DEV_EFFORT, DEV_EFFORT*Q173%,
                           IF(P173=AS_DURATION_EFFORT, (MANUAL_DURATION*5)*Q173%,
                                    (IF(Q173&lt;=1,X173,
                                          IF(SUM(U173:W173)=0,(Q173*X173),
                                               (((Q173*U173)*(X173+(X173*EXTRA_FOR_H)))+
                                               ((Q173*V173)*X173)+
                                               ((Q173*W173)*(X173-(X173*LESS_FOR_L)))
                                    )*IF(R173=0,1,R173))))))+Z173), 0.25)</f>
        <v>4</v>
      </c>
      <c r="Z173" s="22"/>
      <c r="AA173" s="157">
        <f>Y173+Y173*VLOOKUP(I173,EXTRAS_ARRAY,2,FALSE)</f>
        <v>4</v>
      </c>
      <c r="AB173" s="20" t="s">
        <v>231</v>
      </c>
      <c r="AC173" s="34"/>
      <c r="AD173" s="23" t="str">
        <f>IF(J173&lt;&gt;"Yes",
IF(S173&lt;=0,"Error: Effort value is not defined or is invalid.",
IF(AND(SUM(U173:W173)&gt;0,SUM(U173:W173)&lt;&gt;1),"Error: Complexity % distribution should sum to 100%.",
IF(AND(P173=AS_DEV_EFFORT,X173&lt;&gt;0),"Error: PDs should not be defined when defining as dev effort %.",
IF(AND(P173=AS_DURATION_EFFORT,X173&lt;&gt;0),"Error: PDs should not be defined when defining as duration effort %.","")))))</f>
        <v/>
      </c>
    </row>
    <row r="174" spans="1:30" s="9" customFormat="1" ht="7.5" customHeight="1" outlineLevel="2" x14ac:dyDescent="0.35">
      <c r="A174" s="86" t="s">
        <v>70</v>
      </c>
      <c r="B174" s="15"/>
      <c r="C174" s="72"/>
      <c r="D174" s="72"/>
      <c r="E174" s="72"/>
      <c r="F174" s="72"/>
      <c r="M174" s="252"/>
      <c r="T174" s="15"/>
      <c r="X174" s="15"/>
      <c r="AB174" s="10"/>
      <c r="AC174" s="10"/>
      <c r="AD174" s="10"/>
    </row>
    <row r="175" spans="1:30" s="14" customFormat="1" ht="15.5" customHeight="1" outlineLevel="1" x14ac:dyDescent="0.35">
      <c r="A175" s="86" t="s">
        <v>55</v>
      </c>
      <c r="B175" s="18"/>
      <c r="C175" s="77"/>
      <c r="D175" s="77"/>
      <c r="E175" s="77"/>
      <c r="F175" s="76"/>
      <c r="G175" s="29"/>
      <c r="H175" s="29"/>
      <c r="I175" s="29"/>
      <c r="J175" s="29"/>
      <c r="K175" s="29"/>
      <c r="L175" s="17">
        <f ca="1">LOOKUP(1000,INDIRECT("L1:"&amp;CELL("address",INDIRECT("R[-1]C",FALSE))))+1</f>
        <v>23</v>
      </c>
      <c r="M175" s="287" t="s">
        <v>171</v>
      </c>
      <c r="N175" s="288"/>
      <c r="O175" s="5"/>
      <c r="P175" s="30"/>
      <c r="Q175" s="30"/>
      <c r="R175" s="30"/>
      <c r="S175" s="30"/>
      <c r="T175" s="155">
        <f>IF($S$6="Exclude", SUMIFS(S176:S178, J176:J178, "&lt;&gt;Yes", G176:G178, "&lt;&gt;Yes"), SUMIFS(S176:S178, J176:J178, "&lt;&gt;Yes"))</f>
        <v>15.25</v>
      </c>
      <c r="U175" s="30"/>
      <c r="V175" s="30"/>
      <c r="W175" s="30"/>
      <c r="X175" s="31"/>
      <c r="Y175" s="32"/>
      <c r="Z175" s="32"/>
      <c r="AA175" s="32"/>
      <c r="AB175" s="219" t="s">
        <v>167</v>
      </c>
      <c r="AC175" s="33"/>
      <c r="AD175" s="23" t="str">
        <f>IF(M175="", "Error: Task name cannot be empty.", "")</f>
        <v/>
      </c>
    </row>
    <row r="176" spans="1:30" s="12" customFormat="1" ht="1.5" customHeight="1" outlineLevel="2" x14ac:dyDescent="0.35">
      <c r="A176" s="86" t="s">
        <v>57</v>
      </c>
      <c r="B176" s="18"/>
      <c r="C176" s="77"/>
      <c r="D176" s="77"/>
      <c r="E176" s="77"/>
      <c r="F176" s="76"/>
      <c r="G176" s="29"/>
      <c r="H176" s="29"/>
      <c r="I176" s="29"/>
      <c r="J176" s="29"/>
      <c r="K176" s="29"/>
      <c r="L176" s="163">
        <f ca="1">L175</f>
        <v>23</v>
      </c>
      <c r="M176" s="164" t="s">
        <v>58</v>
      </c>
      <c r="N176" s="161"/>
      <c r="O176" s="162"/>
      <c r="P176" s="30"/>
      <c r="Q176" s="30"/>
      <c r="R176" s="30"/>
      <c r="S176" s="30"/>
      <c r="T176" s="155"/>
      <c r="U176" s="30"/>
      <c r="V176" s="30"/>
      <c r="W176" s="30"/>
      <c r="X176" s="31"/>
      <c r="Y176" s="32"/>
      <c r="Z176" s="32"/>
      <c r="AA176" s="32"/>
      <c r="AB176" s="33"/>
      <c r="AC176" s="33"/>
      <c r="AD176" s="23"/>
    </row>
    <row r="177" spans="1:30" ht="43.5" customHeight="1" outlineLevel="2" x14ac:dyDescent="0.35">
      <c r="A177" s="86" t="s">
        <v>52</v>
      </c>
      <c r="B177" s="18"/>
      <c r="C177" s="78"/>
      <c r="D177" s="78"/>
      <c r="E177" s="78"/>
      <c r="F177" s="79"/>
      <c r="G177" s="19" t="s">
        <v>59</v>
      </c>
      <c r="H177" s="19" t="s">
        <v>66</v>
      </c>
      <c r="I177" s="20" t="s">
        <v>125</v>
      </c>
      <c r="J177" s="19" t="s">
        <v>59</v>
      </c>
      <c r="K177" s="35"/>
      <c r="L177" s="19"/>
      <c r="M177" s="263" t="str">
        <f ca="1">IFERROR(OFFSET(M177,-1,,1,1)+0.1,OFFSET(M177,-1,-1,1,1)&amp;".1")</f>
        <v>23.1</v>
      </c>
      <c r="N177" s="20" t="s">
        <v>232</v>
      </c>
      <c r="O177" s="20" t="s">
        <v>233</v>
      </c>
      <c r="P177" s="20"/>
      <c r="Q177" s="134"/>
      <c r="R177" s="127"/>
      <c r="S177" s="157">
        <f>CEILING((IF(J177="Yes", 0, IF(H177="-",AA177,AA177+AA177*VLOOKUP(H177,BUFFERS_BY_TYPE,2,FALSE)))) +
   (IF(J177="Yes", 0, IF(H177="-",AA177,AA177+AA177*VLOOKUP(H177,BUFFERS_BY_TYPE,2,FALSE))))*VLOOKUP($S$5, SALES_CALL_SCALE_ARRAY, 2,FALSE),0.25)</f>
        <v>15.25</v>
      </c>
      <c r="T177" s="158"/>
      <c r="U177" s="21">
        <v>0</v>
      </c>
      <c r="V177" s="21">
        <v>1</v>
      </c>
      <c r="W177" s="21">
        <v>0</v>
      </c>
      <c r="X177" s="156">
        <v>12</v>
      </c>
      <c r="Y177" s="157">
        <f>CEILING((IF(P177=AS_DEV_EFFORT, DEV_EFFORT*Q177%,
                           IF(P177=AS_DURATION_EFFORT, (MANUAL_DURATION*5)*Q177%,
                                    (IF(Q177&lt;=1,X177,
                                          IF(SUM(U177:W177)=0,(Q177*X177),
                                               (((Q177*U177)*(X177+(X177*EXTRA_FOR_H)))+
                                               ((Q177*V177)*X177)+
                                               ((Q177*W177)*(X177-(X177*LESS_FOR_L)))
                                    )*IF(R177=0,1,R177))))))+Z177), 0.25)</f>
        <v>12</v>
      </c>
      <c r="Z177" s="22"/>
      <c r="AA177" s="157">
        <f>Y177+Y177*VLOOKUP(I177,EXTRAS_ARRAY,2,FALSE)</f>
        <v>13.2</v>
      </c>
      <c r="AB177" s="20" t="s">
        <v>234</v>
      </c>
      <c r="AC177" s="34"/>
      <c r="AD177" s="23" t="str">
        <f>IF(J177&lt;&gt;"Yes",
IF(S177&lt;=0,"Error: Effort value is not defined or is invalid.",
IF(AND(SUM(U177:W177)&gt;0,SUM(U177:W177)&lt;&gt;1),"Error: Complexity % distribution should sum to 100%.",
IF(AND(P177=AS_DEV_EFFORT,X177&lt;&gt;0),"Error: PDs should not be defined when defining as dev effort %.",
IF(AND(P177=AS_DURATION_EFFORT,X177&lt;&gt;0),"Error: PDs should not be defined when defining as duration effort %.","")))))</f>
        <v/>
      </c>
    </row>
    <row r="178" spans="1:30" s="9" customFormat="1" ht="7.5" customHeight="1" outlineLevel="2" x14ac:dyDescent="0.35">
      <c r="A178" s="86" t="s">
        <v>70</v>
      </c>
      <c r="B178" s="15"/>
      <c r="C178" s="72"/>
      <c r="D178" s="72"/>
      <c r="E178" s="72"/>
      <c r="F178" s="72"/>
      <c r="M178" s="252"/>
      <c r="T178" s="15"/>
      <c r="X178" s="15"/>
      <c r="AB178" s="10"/>
      <c r="AC178" s="10"/>
      <c r="AD178" s="10"/>
    </row>
    <row r="179" spans="1:30" s="14" customFormat="1" ht="15.5" customHeight="1" outlineLevel="1" x14ac:dyDescent="0.35">
      <c r="A179" s="86" t="s">
        <v>55</v>
      </c>
      <c r="B179" s="18"/>
      <c r="C179" s="77"/>
      <c r="D179" s="77"/>
      <c r="E179" s="77"/>
      <c r="F179" s="76"/>
      <c r="G179" s="29"/>
      <c r="H179" s="29"/>
      <c r="I179" s="29"/>
      <c r="J179" s="29"/>
      <c r="K179" s="29"/>
      <c r="L179" s="17">
        <f ca="1">LOOKUP(1000,INDIRECT("L1:"&amp;CELL("address",INDIRECT("R[-1]C",FALSE))))+1</f>
        <v>24</v>
      </c>
      <c r="M179" s="287" t="s">
        <v>175</v>
      </c>
      <c r="N179" s="288"/>
      <c r="O179" s="5"/>
      <c r="P179" s="30"/>
      <c r="Q179" s="30"/>
      <c r="R179" s="30"/>
      <c r="S179" s="30"/>
      <c r="T179" s="155">
        <f>IF($S$6="Exclude", SUMIFS(S180:S182, J180:J182, "&lt;&gt;Yes", G180:G182, "&lt;&gt;Yes"), SUMIFS(S180:S182, J180:J182, "&lt;&gt;Yes"))</f>
        <v>5.75</v>
      </c>
      <c r="U179" s="30"/>
      <c r="V179" s="30"/>
      <c r="W179" s="30"/>
      <c r="X179" s="31"/>
      <c r="Y179" s="32"/>
      <c r="Z179" s="32"/>
      <c r="AA179" s="32"/>
      <c r="AB179" s="219" t="s">
        <v>167</v>
      </c>
      <c r="AC179" s="33"/>
      <c r="AD179" s="23" t="str">
        <f>IF(M179="", "Error: Task name cannot be empty.", "")</f>
        <v/>
      </c>
    </row>
    <row r="180" spans="1:30" s="12" customFormat="1" ht="1.5" customHeight="1" outlineLevel="2" x14ac:dyDescent="0.35">
      <c r="A180" s="86" t="s">
        <v>57</v>
      </c>
      <c r="B180" s="18"/>
      <c r="C180" s="77"/>
      <c r="D180" s="77"/>
      <c r="E180" s="77"/>
      <c r="F180" s="76"/>
      <c r="G180" s="29"/>
      <c r="H180" s="29"/>
      <c r="I180" s="29"/>
      <c r="J180" s="29"/>
      <c r="K180" s="29"/>
      <c r="L180" s="163">
        <f ca="1">L179</f>
        <v>24</v>
      </c>
      <c r="M180" s="164" t="s">
        <v>58</v>
      </c>
      <c r="N180" s="161"/>
      <c r="O180" s="162"/>
      <c r="P180" s="30"/>
      <c r="Q180" s="30"/>
      <c r="R180" s="30"/>
      <c r="S180" s="30"/>
      <c r="T180" s="155"/>
      <c r="U180" s="30"/>
      <c r="V180" s="30"/>
      <c r="W180" s="30"/>
      <c r="X180" s="31"/>
      <c r="Y180" s="32"/>
      <c r="Z180" s="32"/>
      <c r="AA180" s="32"/>
      <c r="AB180" s="33"/>
      <c r="AC180" s="33"/>
      <c r="AD180" s="23"/>
    </row>
    <row r="181" spans="1:30" ht="43.5" customHeight="1" outlineLevel="2" x14ac:dyDescent="0.35">
      <c r="A181" s="86" t="s">
        <v>52</v>
      </c>
      <c r="B181" s="18"/>
      <c r="C181" s="78"/>
      <c r="D181" s="78"/>
      <c r="E181" s="78"/>
      <c r="F181" s="79"/>
      <c r="G181" s="19" t="s">
        <v>59</v>
      </c>
      <c r="H181" s="19" t="s">
        <v>66</v>
      </c>
      <c r="I181" s="20" t="s">
        <v>59</v>
      </c>
      <c r="J181" s="19" t="s">
        <v>59</v>
      </c>
      <c r="K181" s="35"/>
      <c r="L181" s="19"/>
      <c r="M181" s="263" t="str">
        <f ca="1">IFERROR(OFFSET(M181,-1,,1,1)+0.1,OFFSET(M181,-1,-1,1,1)&amp;".1")</f>
        <v>24.1</v>
      </c>
      <c r="N181" s="20" t="s">
        <v>235</v>
      </c>
      <c r="O181" s="20" t="s">
        <v>236</v>
      </c>
      <c r="P181" s="20"/>
      <c r="Q181" s="134"/>
      <c r="R181" s="127"/>
      <c r="S181" s="157">
        <f>CEILING((IF(J181="Yes", 0, IF(H181="-",AA181,AA181+AA181*VLOOKUP(H181,BUFFERS_BY_TYPE,2,FALSE)))) +
   (IF(J181="Yes", 0, IF(H181="-",AA181,AA181+AA181*VLOOKUP(H181,BUFFERS_BY_TYPE,2,FALSE))))*VLOOKUP($S$5, SALES_CALL_SCALE_ARRAY, 2,FALSE),0.25)</f>
        <v>5.75</v>
      </c>
      <c r="T181" s="158"/>
      <c r="U181" s="21">
        <v>0</v>
      </c>
      <c r="V181" s="21">
        <v>1</v>
      </c>
      <c r="W181" s="21">
        <v>0</v>
      </c>
      <c r="X181" s="156">
        <v>5</v>
      </c>
      <c r="Y181" s="157">
        <f>CEILING((IF(P181=AS_DEV_EFFORT, DEV_EFFORT*Q181%,
                           IF(P181=AS_DURATION_EFFORT, (MANUAL_DURATION*5)*Q181%,
                                    (IF(Q181&lt;=1,X181,
                                          IF(SUM(U181:W181)=0,(Q181*X181),
                                               (((Q181*U181)*(X181+(X181*EXTRA_FOR_H)))+
                                               ((Q181*V181)*X181)+
                                               ((Q181*W181)*(X181-(X181*LESS_FOR_L)))
                                    )*IF(R181=0,1,R181))))))+Z181), 0.25)</f>
        <v>5</v>
      </c>
      <c r="Z181" s="22"/>
      <c r="AA181" s="157">
        <f>Y181+Y181*VLOOKUP(I181,EXTRAS_ARRAY,2,FALSE)</f>
        <v>5</v>
      </c>
      <c r="AB181" s="20" t="s">
        <v>237</v>
      </c>
      <c r="AC181" s="34"/>
      <c r="AD181" s="23" t="str">
        <f>IF(J181&lt;&gt;"Yes",
IF(S181&lt;=0,"Error: Effort value is not defined or is invalid.",
IF(AND(SUM(U181:W181)&gt;0,SUM(U181:W181)&lt;&gt;1),"Error: Complexity % distribution should sum to 100%.",
IF(AND(P181=AS_DEV_EFFORT,X181&lt;&gt;0),"Error: PDs should not be defined when defining as dev effort %.",
IF(AND(P181=AS_DURATION_EFFORT,X181&lt;&gt;0),"Error: PDs should not be defined when defining as duration effort %.","")))))</f>
        <v/>
      </c>
    </row>
    <row r="182" spans="1:30" s="9" customFormat="1" ht="7.5" customHeight="1" outlineLevel="2" x14ac:dyDescent="0.35">
      <c r="A182" s="86" t="s">
        <v>70</v>
      </c>
      <c r="B182" s="15"/>
      <c r="C182" s="72"/>
      <c r="D182" s="72"/>
      <c r="E182" s="72"/>
      <c r="F182" s="72"/>
      <c r="M182" s="252"/>
      <c r="T182" s="15"/>
      <c r="X182" s="15"/>
      <c r="AB182" s="10"/>
      <c r="AC182" s="10"/>
      <c r="AD182" s="10"/>
    </row>
    <row r="183" spans="1:30" s="14" customFormat="1" ht="15.5" customHeight="1" outlineLevel="1" x14ac:dyDescent="0.35">
      <c r="A183" s="86" t="s">
        <v>55</v>
      </c>
      <c r="B183" s="18"/>
      <c r="C183" s="77"/>
      <c r="D183" s="77"/>
      <c r="E183" s="77"/>
      <c r="F183" s="76"/>
      <c r="G183" s="29"/>
      <c r="H183" s="29"/>
      <c r="I183" s="29"/>
      <c r="J183" s="29"/>
      <c r="K183" s="29"/>
      <c r="L183" s="17">
        <f ca="1">LOOKUP(1000,INDIRECT("L1:"&amp;CELL("address",INDIRECT("R[-1]C",FALSE))))+1</f>
        <v>25</v>
      </c>
      <c r="M183" s="287" t="s">
        <v>179</v>
      </c>
      <c r="N183" s="288"/>
      <c r="O183" s="5"/>
      <c r="P183" s="30"/>
      <c r="Q183" s="30"/>
      <c r="R183" s="30"/>
      <c r="S183" s="30"/>
      <c r="T183" s="155">
        <f>IF($S$6="Exclude", SUMIFS(S184:S186, J184:J186, "&lt;&gt;Yes", G184:G186, "&lt;&gt;Yes"), SUMIFS(S184:S186, J184:J186, "&lt;&gt;Yes"))</f>
        <v>3.5</v>
      </c>
      <c r="U183" s="30"/>
      <c r="V183" s="30"/>
      <c r="W183" s="30"/>
      <c r="X183" s="31"/>
      <c r="Y183" s="32"/>
      <c r="Z183" s="32"/>
      <c r="AA183" s="32"/>
      <c r="AB183" s="219" t="s">
        <v>167</v>
      </c>
      <c r="AC183" s="33"/>
      <c r="AD183" s="23" t="str">
        <f>IF(M183="", "Error: Task name cannot be empty.", "")</f>
        <v/>
      </c>
    </row>
    <row r="184" spans="1:30" s="12" customFormat="1" ht="1.5" customHeight="1" outlineLevel="2" x14ac:dyDescent="0.35">
      <c r="A184" s="86" t="s">
        <v>57</v>
      </c>
      <c r="B184" s="18"/>
      <c r="C184" s="77"/>
      <c r="D184" s="77"/>
      <c r="E184" s="77"/>
      <c r="F184" s="76"/>
      <c r="G184" s="29"/>
      <c r="H184" s="29"/>
      <c r="I184" s="29"/>
      <c r="J184" s="29"/>
      <c r="K184" s="29"/>
      <c r="L184" s="163">
        <f ca="1">L183</f>
        <v>25</v>
      </c>
      <c r="M184" s="164" t="s">
        <v>58</v>
      </c>
      <c r="N184" s="161"/>
      <c r="O184" s="162"/>
      <c r="P184" s="30"/>
      <c r="Q184" s="30"/>
      <c r="R184" s="30"/>
      <c r="S184" s="30"/>
      <c r="T184" s="155"/>
      <c r="U184" s="30"/>
      <c r="V184" s="30"/>
      <c r="W184" s="30"/>
      <c r="X184" s="31"/>
      <c r="Y184" s="32"/>
      <c r="Z184" s="32"/>
      <c r="AA184" s="32"/>
      <c r="AB184" s="33"/>
      <c r="AC184" s="33"/>
      <c r="AD184" s="23"/>
    </row>
    <row r="185" spans="1:30" ht="43.5" customHeight="1" outlineLevel="2" x14ac:dyDescent="0.35">
      <c r="A185" s="86" t="s">
        <v>52</v>
      </c>
      <c r="B185" s="18"/>
      <c r="C185" s="78"/>
      <c r="D185" s="78"/>
      <c r="E185" s="78"/>
      <c r="F185" s="79"/>
      <c r="G185" s="19" t="s">
        <v>59</v>
      </c>
      <c r="H185" s="19" t="s">
        <v>60</v>
      </c>
      <c r="I185" s="20" t="s">
        <v>59</v>
      </c>
      <c r="J185" s="19" t="s">
        <v>59</v>
      </c>
      <c r="K185" s="35"/>
      <c r="L185" s="19"/>
      <c r="M185" s="263" t="str">
        <f ca="1">IFERROR(OFFSET(M185,-1,,1,1)+0.1,OFFSET(M185,-1,-1,1,1)&amp;".1")</f>
        <v>25.1</v>
      </c>
      <c r="N185" s="20" t="s">
        <v>238</v>
      </c>
      <c r="O185" s="20" t="s">
        <v>239</v>
      </c>
      <c r="P185" s="20"/>
      <c r="Q185" s="134"/>
      <c r="R185" s="127"/>
      <c r="S185" s="157">
        <f>CEILING((IF(J185="Yes", 0, IF(H185="-",AA185,AA185+AA185*VLOOKUP(H185,BUFFERS_BY_TYPE,2,FALSE)))) +
   (IF(J185="Yes", 0, IF(H185="-",AA185,AA185+AA185*VLOOKUP(H185,BUFFERS_BY_TYPE,2,FALSE))))*VLOOKUP($S$5, SALES_CALL_SCALE_ARRAY, 2,FALSE),0.25)</f>
        <v>3.5</v>
      </c>
      <c r="T185" s="158"/>
      <c r="U185" s="21">
        <v>0</v>
      </c>
      <c r="V185" s="21">
        <v>1</v>
      </c>
      <c r="W185" s="21">
        <v>0</v>
      </c>
      <c r="X185" s="156">
        <v>3</v>
      </c>
      <c r="Y185" s="157">
        <f>CEILING((IF(P185=AS_DEV_EFFORT, DEV_EFFORT*Q185%,
                           IF(P185=AS_DURATION_EFFORT, (MANUAL_DURATION*5)*Q185%,
                                    (IF(Q185&lt;=1,X185,
                                          IF(SUM(U185:W185)=0,(Q185*X185),
                                               (((Q185*U185)*(X185+(X185*EXTRA_FOR_H)))+
                                               ((Q185*V185)*X185)+
                                               ((Q185*W185)*(X185-(X185*LESS_FOR_L)))
                                    )*IF(R185=0,1,R185))))))+Z185), 0.25)</f>
        <v>3</v>
      </c>
      <c r="Z185" s="22"/>
      <c r="AA185" s="157">
        <f>Y185+Y185*VLOOKUP(I185,EXTRAS_ARRAY,2,FALSE)</f>
        <v>3</v>
      </c>
      <c r="AB185" s="20" t="s">
        <v>240</v>
      </c>
      <c r="AC185" s="34"/>
      <c r="AD185" s="23" t="str">
        <f>IF(J185&lt;&gt;"Yes",
IF(S185&lt;=0,"Error: Effort value is not defined or is invalid.",
IF(AND(SUM(U185:W185)&gt;0,SUM(U185:W185)&lt;&gt;1),"Error: Complexity % distribution should sum to 100%.",
IF(AND(P185=AS_DEV_EFFORT,X185&lt;&gt;0),"Error: PDs should not be defined when defining as dev effort %.",
IF(AND(P185=AS_DURATION_EFFORT,X185&lt;&gt;0),"Error: PDs should not be defined when defining as duration effort %.","")))))</f>
        <v/>
      </c>
    </row>
    <row r="186" spans="1:30" s="9" customFormat="1" ht="7.5" customHeight="1" outlineLevel="2" x14ac:dyDescent="0.35">
      <c r="A186" s="86" t="s">
        <v>70</v>
      </c>
      <c r="B186" s="15"/>
      <c r="C186" s="72"/>
      <c r="D186" s="72"/>
      <c r="E186" s="72"/>
      <c r="F186" s="72"/>
      <c r="M186" s="252"/>
      <c r="T186" s="15"/>
      <c r="X186" s="15"/>
      <c r="AB186" s="10"/>
      <c r="AC186" s="10"/>
      <c r="AD186" s="10"/>
    </row>
    <row r="187" spans="1:30" s="14" customFormat="1" ht="15.5" customHeight="1" outlineLevel="1" x14ac:dyDescent="0.35">
      <c r="A187" s="86" t="s">
        <v>55</v>
      </c>
      <c r="B187" s="18"/>
      <c r="C187" s="77"/>
      <c r="D187" s="77"/>
      <c r="E187" s="77"/>
      <c r="F187" s="76"/>
      <c r="G187" s="29"/>
      <c r="H187" s="29"/>
      <c r="I187" s="29"/>
      <c r="J187" s="29"/>
      <c r="K187" s="29"/>
      <c r="L187" s="17">
        <f ca="1">LOOKUP(1000,INDIRECT("L1:"&amp;CELL("address",INDIRECT("R[-1]C",FALSE))))+1</f>
        <v>26</v>
      </c>
      <c r="M187" s="287" t="s">
        <v>183</v>
      </c>
      <c r="N187" s="288"/>
      <c r="O187" s="5"/>
      <c r="P187" s="30"/>
      <c r="Q187" s="30"/>
      <c r="R187" s="30"/>
      <c r="S187" s="30"/>
      <c r="T187" s="155">
        <f>IF($S$6="Exclude", SUMIFS(S188:S190, J188:J190, "&lt;&gt;Yes", G188:G190, "&lt;&gt;Yes"), SUMIFS(S188:S190, J188:J190, "&lt;&gt;Yes"))</f>
        <v>3.5</v>
      </c>
      <c r="U187" s="30"/>
      <c r="V187" s="30"/>
      <c r="W187" s="30"/>
      <c r="X187" s="31"/>
      <c r="Y187" s="32"/>
      <c r="Z187" s="32"/>
      <c r="AA187" s="32"/>
      <c r="AB187" s="219" t="s">
        <v>167</v>
      </c>
      <c r="AC187" s="33"/>
      <c r="AD187" s="23" t="str">
        <f>IF(M187="", "Error: Task name cannot be empty.", "")</f>
        <v/>
      </c>
    </row>
    <row r="188" spans="1:30" s="12" customFormat="1" ht="1.5" customHeight="1" outlineLevel="2" x14ac:dyDescent="0.35">
      <c r="A188" s="86" t="s">
        <v>57</v>
      </c>
      <c r="B188" s="18"/>
      <c r="C188" s="77"/>
      <c r="D188" s="77"/>
      <c r="E188" s="77"/>
      <c r="F188" s="76"/>
      <c r="G188" s="29"/>
      <c r="H188" s="29"/>
      <c r="I188" s="29"/>
      <c r="J188" s="29"/>
      <c r="K188" s="29"/>
      <c r="L188" s="163">
        <f ca="1">L187</f>
        <v>26</v>
      </c>
      <c r="M188" s="164" t="s">
        <v>58</v>
      </c>
      <c r="N188" s="161"/>
      <c r="O188" s="162"/>
      <c r="P188" s="30"/>
      <c r="Q188" s="30"/>
      <c r="R188" s="30"/>
      <c r="S188" s="30"/>
      <c r="T188" s="155"/>
      <c r="U188" s="30"/>
      <c r="V188" s="30"/>
      <c r="W188" s="30"/>
      <c r="X188" s="31"/>
      <c r="Y188" s="32"/>
      <c r="Z188" s="32"/>
      <c r="AA188" s="32"/>
      <c r="AB188" s="33"/>
      <c r="AC188" s="33"/>
      <c r="AD188" s="23"/>
    </row>
    <row r="189" spans="1:30" ht="43.5" customHeight="1" outlineLevel="2" x14ac:dyDescent="0.35">
      <c r="A189" s="86" t="s">
        <v>52</v>
      </c>
      <c r="B189" s="18"/>
      <c r="C189" s="78"/>
      <c r="D189" s="78"/>
      <c r="E189" s="78"/>
      <c r="F189" s="79"/>
      <c r="G189" s="19" t="s">
        <v>59</v>
      </c>
      <c r="H189" s="19" t="s">
        <v>60</v>
      </c>
      <c r="I189" s="20" t="s">
        <v>59</v>
      </c>
      <c r="J189" s="19" t="s">
        <v>59</v>
      </c>
      <c r="K189" s="35"/>
      <c r="L189" s="19"/>
      <c r="M189" s="263" t="str">
        <f ca="1">IFERROR(OFFSET(M189,-1,,1,1)+0.1,OFFSET(M189,-1,-1,1,1)&amp;".1")</f>
        <v>26.1</v>
      </c>
      <c r="N189" s="20" t="s">
        <v>241</v>
      </c>
      <c r="O189" s="20" t="s">
        <v>242</v>
      </c>
      <c r="P189" s="20"/>
      <c r="Q189" s="134"/>
      <c r="R189" s="127"/>
      <c r="S189" s="157">
        <f>CEILING((IF(J189="Yes", 0, IF(H189="-",AA189,AA189+AA189*VLOOKUP(H189,BUFFERS_BY_TYPE,2,FALSE)))) +
   (IF(J189="Yes", 0, IF(H189="-",AA189,AA189+AA189*VLOOKUP(H189,BUFFERS_BY_TYPE,2,FALSE))))*VLOOKUP($S$5, SALES_CALL_SCALE_ARRAY, 2,FALSE),0.25)</f>
        <v>3.5</v>
      </c>
      <c r="T189" s="158"/>
      <c r="U189" s="21">
        <v>0</v>
      </c>
      <c r="V189" s="21">
        <v>1</v>
      </c>
      <c r="W189" s="21">
        <v>0</v>
      </c>
      <c r="X189" s="156">
        <v>3</v>
      </c>
      <c r="Y189" s="157">
        <f>CEILING((IF(P189=AS_DEV_EFFORT, DEV_EFFORT*Q189%,
                           IF(P189=AS_DURATION_EFFORT, (MANUAL_DURATION*5)*Q189%,
                                    (IF(Q189&lt;=1,X189,
                                          IF(SUM(U189:W189)=0,(Q189*X189),
                                               (((Q189*U189)*(X189+(X189*EXTRA_FOR_H)))+
                                               ((Q189*V189)*X189)+
                                               ((Q189*W189)*(X189-(X189*LESS_FOR_L)))
                                    )*IF(R189=0,1,R189))))))+Z189), 0.25)</f>
        <v>3</v>
      </c>
      <c r="Z189" s="22"/>
      <c r="AA189" s="157">
        <f>Y189+Y189*VLOOKUP(I189,EXTRAS_ARRAY,2,FALSE)</f>
        <v>3</v>
      </c>
      <c r="AB189" s="20" t="s">
        <v>243</v>
      </c>
      <c r="AC189" s="34"/>
      <c r="AD189" s="23" t="str">
        <f>IF(J189&lt;&gt;"Yes",
IF(S189&lt;=0,"Error: Effort value is not defined or is invalid.",
IF(AND(SUM(U189:W189)&gt;0,SUM(U189:W189)&lt;&gt;1),"Error: Complexity % distribution should sum to 100%.",
IF(AND(P189=AS_DEV_EFFORT,X189&lt;&gt;0),"Error: PDs should not be defined when defining as dev effort %.",
IF(AND(P189=AS_DURATION_EFFORT,X189&lt;&gt;0),"Error: PDs should not be defined when defining as duration effort %.","")))))</f>
        <v/>
      </c>
    </row>
    <row r="190" spans="1:30" s="9" customFormat="1" ht="7.5" customHeight="1" outlineLevel="2" x14ac:dyDescent="0.35">
      <c r="A190" s="86" t="s">
        <v>70</v>
      </c>
      <c r="B190" s="15"/>
      <c r="C190" s="72"/>
      <c r="D190" s="72"/>
      <c r="E190" s="72"/>
      <c r="F190" s="72"/>
      <c r="M190" s="252"/>
      <c r="T190" s="15"/>
      <c r="X190" s="15"/>
      <c r="AB190" s="10"/>
      <c r="AC190" s="10"/>
      <c r="AD190" s="10"/>
    </row>
    <row r="191" spans="1:30" s="14" customFormat="1" ht="15.5" customHeight="1" outlineLevel="1" x14ac:dyDescent="0.35">
      <c r="A191" s="86" t="s">
        <v>161</v>
      </c>
      <c r="B191" s="18"/>
      <c r="C191" s="77"/>
      <c r="D191" s="77"/>
      <c r="E191" s="77"/>
      <c r="F191" s="76"/>
      <c r="G191" s="170"/>
      <c r="H191" s="170"/>
      <c r="I191" s="170"/>
      <c r="J191" s="170"/>
      <c r="K191" s="170"/>
      <c r="L191" s="85" t="s">
        <v>23</v>
      </c>
      <c r="M191" s="296" t="s">
        <v>244</v>
      </c>
      <c r="N191" s="288"/>
      <c r="O191" s="80"/>
      <c r="P191" s="81"/>
      <c r="Q191" s="81"/>
      <c r="R191" s="81"/>
      <c r="S191" s="291">
        <f>SUMGROUP(ROW(), "T")</f>
        <v>51</v>
      </c>
      <c r="T191" s="292"/>
      <c r="U191" s="295"/>
      <c r="V191" s="288"/>
      <c r="W191" s="288"/>
      <c r="X191" s="82"/>
      <c r="Y191" s="83"/>
      <c r="Z191" s="83"/>
      <c r="AA191" s="83"/>
      <c r="AB191" s="221"/>
      <c r="AC191" s="84"/>
      <c r="AD191" s="23" t="str">
        <f>IF(M191="", "Error: Module name cannot be empty.", "")</f>
        <v/>
      </c>
    </row>
    <row r="192" spans="1:30" s="14" customFormat="1" ht="15.5" customHeight="1" outlineLevel="1" x14ac:dyDescent="0.35">
      <c r="A192" s="86" t="s">
        <v>55</v>
      </c>
      <c r="B192" s="18"/>
      <c r="C192" s="77"/>
      <c r="D192" s="77"/>
      <c r="E192" s="77"/>
      <c r="F192" s="76"/>
      <c r="G192" s="29"/>
      <c r="H192" s="29"/>
      <c r="I192" s="29"/>
      <c r="J192" s="29"/>
      <c r="K192" s="29"/>
      <c r="L192" s="17">
        <f ca="1">LOOKUP(1000,INDIRECT("L1:"&amp;CELL("address",INDIRECT("R[-1]C",FALSE))))+1</f>
        <v>27</v>
      </c>
      <c r="M192" s="287" t="s">
        <v>163</v>
      </c>
      <c r="N192" s="288"/>
      <c r="O192" s="5"/>
      <c r="P192" s="30"/>
      <c r="Q192" s="30"/>
      <c r="R192" s="30"/>
      <c r="S192" s="30"/>
      <c r="T192" s="155">
        <f>IF($S$6="Exclude", SUMIFS(S193:S195, J193:J195, "&lt;&gt;Yes", G193:G195, "&lt;&gt;Yes"), SUMIFS(S193:S195, J193:J195, "&lt;&gt;Yes"))</f>
        <v>5.5</v>
      </c>
      <c r="U192" s="30"/>
      <c r="V192" s="30"/>
      <c r="W192" s="30"/>
      <c r="X192" s="31"/>
      <c r="Y192" s="32"/>
      <c r="Z192" s="32"/>
      <c r="AA192" s="32"/>
      <c r="AB192" s="219" t="s">
        <v>167</v>
      </c>
      <c r="AC192" s="33"/>
      <c r="AD192" s="23" t="str">
        <f>IF(M192="", "Error: Task name cannot be empty.", "")</f>
        <v/>
      </c>
    </row>
    <row r="193" spans="1:30" s="12" customFormat="1" ht="1.5" customHeight="1" outlineLevel="2" x14ac:dyDescent="0.35">
      <c r="A193" s="86" t="s">
        <v>57</v>
      </c>
      <c r="B193" s="18"/>
      <c r="C193" s="77"/>
      <c r="D193" s="77"/>
      <c r="E193" s="77"/>
      <c r="F193" s="76"/>
      <c r="G193" s="29"/>
      <c r="H193" s="29"/>
      <c r="I193" s="29"/>
      <c r="J193" s="29"/>
      <c r="K193" s="29"/>
      <c r="L193" s="163">
        <f ca="1">L192</f>
        <v>27</v>
      </c>
      <c r="M193" s="164" t="s">
        <v>58</v>
      </c>
      <c r="N193" s="161"/>
      <c r="O193" s="162"/>
      <c r="P193" s="30"/>
      <c r="Q193" s="30"/>
      <c r="R193" s="30"/>
      <c r="S193" s="30"/>
      <c r="T193" s="155"/>
      <c r="U193" s="30"/>
      <c r="V193" s="30"/>
      <c r="W193" s="30"/>
      <c r="X193" s="31"/>
      <c r="Y193" s="32"/>
      <c r="Z193" s="32"/>
      <c r="AA193" s="32"/>
      <c r="AB193" s="33"/>
      <c r="AC193" s="33"/>
      <c r="AD193" s="23"/>
    </row>
    <row r="194" spans="1:30" ht="43.5" customHeight="1" outlineLevel="2" x14ac:dyDescent="0.35">
      <c r="A194" s="86" t="s">
        <v>52</v>
      </c>
      <c r="B194" s="18"/>
      <c r="C194" s="78"/>
      <c r="D194" s="78"/>
      <c r="E194" s="78"/>
      <c r="F194" s="79"/>
      <c r="G194" s="19" t="s">
        <v>59</v>
      </c>
      <c r="H194" s="19" t="s">
        <v>60</v>
      </c>
      <c r="I194" s="20" t="s">
        <v>59</v>
      </c>
      <c r="J194" s="19" t="s">
        <v>59</v>
      </c>
      <c r="K194" s="35"/>
      <c r="L194" s="19"/>
      <c r="M194" s="263" t="str">
        <f ca="1">IFERROR(OFFSET(M194,-1,,1,1)+0.1,OFFSET(M194,-1,-1,1,1)&amp;".1")</f>
        <v>27.1</v>
      </c>
      <c r="N194" s="20" t="s">
        <v>245</v>
      </c>
      <c r="O194" s="20" t="s">
        <v>246</v>
      </c>
      <c r="P194" s="20"/>
      <c r="Q194" s="134"/>
      <c r="R194" s="127"/>
      <c r="S194" s="157">
        <f>CEILING((IF(J194="Yes", 0, IF(H194="-",AA194,AA194+AA194*VLOOKUP(H194,BUFFERS_BY_TYPE,2,FALSE)))) +
   (IF(J194="Yes", 0, IF(H194="-",AA194,AA194+AA194*VLOOKUP(H194,BUFFERS_BY_TYPE,2,FALSE))))*VLOOKUP($S$5, SALES_CALL_SCALE_ARRAY, 2,FALSE),0.25)</f>
        <v>5.5</v>
      </c>
      <c r="T194" s="158"/>
      <c r="U194" s="21">
        <v>0</v>
      </c>
      <c r="V194" s="21">
        <v>1</v>
      </c>
      <c r="W194" s="21">
        <v>0</v>
      </c>
      <c r="X194" s="156">
        <v>5</v>
      </c>
      <c r="Y194" s="157">
        <f>CEILING((IF(P194=AS_DEV_EFFORT, DEV_EFFORT*Q194%,
                           IF(P194=AS_DURATION_EFFORT, (MANUAL_DURATION*5)*Q194%,
                                    (IF(Q194&lt;=1,X194,
                                          IF(SUM(U194:W194)=0,(Q194*X194),
                                               (((Q194*U194)*(X194+(X194*EXTRA_FOR_H)))+
                                               ((Q194*V194)*X194)+
                                               ((Q194*W194)*(X194-(X194*LESS_FOR_L)))
                                    )*IF(R194=0,1,R194))))))+Z194), 0.25)</f>
        <v>5</v>
      </c>
      <c r="Z194" s="22"/>
      <c r="AA194" s="157">
        <f>Y194+Y194*VLOOKUP(I194,EXTRAS_ARRAY,2,FALSE)</f>
        <v>5</v>
      </c>
      <c r="AB194" s="20" t="s">
        <v>247</v>
      </c>
      <c r="AC194" s="34"/>
      <c r="AD194" s="23" t="str">
        <f>IF(J194&lt;&gt;"Yes",
IF(S194&lt;=0,"Error: Effort value is not defined or is invalid.",
IF(AND(SUM(U194:W194)&gt;0,SUM(U194:W194)&lt;&gt;1),"Error: Complexity % distribution should sum to 100%.",
IF(AND(P194=AS_DEV_EFFORT,X194&lt;&gt;0),"Error: PDs should not be defined when defining as dev effort %.",
IF(AND(P194=AS_DURATION_EFFORT,X194&lt;&gt;0),"Error: PDs should not be defined when defining as duration effort %.","")))))</f>
        <v/>
      </c>
    </row>
    <row r="195" spans="1:30" s="9" customFormat="1" ht="7.5" customHeight="1" outlineLevel="2" x14ac:dyDescent="0.35">
      <c r="A195" s="86" t="s">
        <v>70</v>
      </c>
      <c r="B195" s="15"/>
      <c r="C195" s="72"/>
      <c r="D195" s="72"/>
      <c r="E195" s="72"/>
      <c r="F195" s="72"/>
      <c r="M195" s="252"/>
      <c r="T195" s="15"/>
      <c r="X195" s="15"/>
      <c r="AB195" s="10"/>
      <c r="AC195" s="10"/>
      <c r="AD195" s="10"/>
    </row>
    <row r="196" spans="1:30" s="14" customFormat="1" ht="15.5" customHeight="1" outlineLevel="1" x14ac:dyDescent="0.35">
      <c r="A196" s="86" t="s">
        <v>55</v>
      </c>
      <c r="B196" s="18"/>
      <c r="C196" s="77"/>
      <c r="D196" s="77"/>
      <c r="E196" s="77"/>
      <c r="F196" s="76"/>
      <c r="G196" s="29"/>
      <c r="H196" s="29"/>
      <c r="I196" s="29"/>
      <c r="J196" s="29"/>
      <c r="K196" s="29"/>
      <c r="L196" s="17">
        <f ca="1">LOOKUP(1000,INDIRECT("L1:"&amp;CELL("address",INDIRECT("R[-1]C",FALSE))))+1</f>
        <v>28</v>
      </c>
      <c r="M196" s="287" t="s">
        <v>166</v>
      </c>
      <c r="N196" s="288"/>
      <c r="O196" s="5"/>
      <c r="P196" s="30"/>
      <c r="Q196" s="30"/>
      <c r="R196" s="30"/>
      <c r="S196" s="30"/>
      <c r="T196" s="155">
        <f>IF($S$6="Exclude", SUMIFS(S197:S199, J197:J199, "&lt;&gt;Yes", G197:G199, "&lt;&gt;Yes"), SUMIFS(S197:S199, J197:J199, "&lt;&gt;Yes"))</f>
        <v>3.5</v>
      </c>
      <c r="U196" s="30"/>
      <c r="V196" s="30"/>
      <c r="W196" s="30"/>
      <c r="X196" s="31"/>
      <c r="Y196" s="32"/>
      <c r="Z196" s="32"/>
      <c r="AA196" s="32"/>
      <c r="AB196" s="219" t="s">
        <v>167</v>
      </c>
      <c r="AC196" s="33"/>
      <c r="AD196" s="23" t="str">
        <f>IF(M196="", "Error: Task name cannot be empty.", "")</f>
        <v/>
      </c>
    </row>
    <row r="197" spans="1:30" s="12" customFormat="1" ht="1.5" customHeight="1" outlineLevel="2" x14ac:dyDescent="0.35">
      <c r="A197" s="86" t="s">
        <v>57</v>
      </c>
      <c r="B197" s="18"/>
      <c r="C197" s="77"/>
      <c r="D197" s="77"/>
      <c r="E197" s="77"/>
      <c r="F197" s="76"/>
      <c r="G197" s="29"/>
      <c r="H197" s="29"/>
      <c r="I197" s="29"/>
      <c r="J197" s="29"/>
      <c r="K197" s="29"/>
      <c r="L197" s="163">
        <f ca="1">L196</f>
        <v>28</v>
      </c>
      <c r="M197" s="164" t="s">
        <v>58</v>
      </c>
      <c r="N197" s="161"/>
      <c r="O197" s="162"/>
      <c r="P197" s="30"/>
      <c r="Q197" s="30"/>
      <c r="R197" s="30"/>
      <c r="S197" s="30"/>
      <c r="T197" s="155"/>
      <c r="U197" s="30"/>
      <c r="V197" s="30"/>
      <c r="W197" s="30"/>
      <c r="X197" s="31"/>
      <c r="Y197" s="32"/>
      <c r="Z197" s="32"/>
      <c r="AA197" s="32"/>
      <c r="AB197" s="33"/>
      <c r="AC197" s="33"/>
      <c r="AD197" s="23"/>
    </row>
    <row r="198" spans="1:30" ht="43.5" customHeight="1" outlineLevel="2" x14ac:dyDescent="0.35">
      <c r="A198" s="86" t="s">
        <v>52</v>
      </c>
      <c r="B198" s="18"/>
      <c r="C198" s="78"/>
      <c r="D198" s="78"/>
      <c r="E198" s="78"/>
      <c r="F198" s="79"/>
      <c r="G198" s="19" t="s">
        <v>59</v>
      </c>
      <c r="H198" s="19" t="s">
        <v>60</v>
      </c>
      <c r="I198" s="20" t="s">
        <v>59</v>
      </c>
      <c r="J198" s="19" t="s">
        <v>59</v>
      </c>
      <c r="K198" s="35"/>
      <c r="L198" s="19"/>
      <c r="M198" s="263" t="str">
        <f ca="1">IFERROR(OFFSET(M198,-1,,1,1)+0.1,OFFSET(M198,-1,-1,1,1)&amp;".1")</f>
        <v>28.1</v>
      </c>
      <c r="N198" s="20" t="s">
        <v>248</v>
      </c>
      <c r="O198" s="20" t="s">
        <v>249</v>
      </c>
      <c r="P198" s="20"/>
      <c r="Q198" s="134"/>
      <c r="R198" s="127"/>
      <c r="S198" s="157">
        <f>CEILING((IF(J198="Yes", 0, IF(H198="-",AA198,AA198+AA198*VLOOKUP(H198,BUFFERS_BY_TYPE,2,FALSE)))) +
   (IF(J198="Yes", 0, IF(H198="-",AA198,AA198+AA198*VLOOKUP(H198,BUFFERS_BY_TYPE,2,FALSE))))*VLOOKUP($S$5, SALES_CALL_SCALE_ARRAY, 2,FALSE),0.25)</f>
        <v>3.5</v>
      </c>
      <c r="T198" s="158"/>
      <c r="U198" s="21">
        <v>0</v>
      </c>
      <c r="V198" s="21">
        <v>1</v>
      </c>
      <c r="W198" s="21">
        <v>0</v>
      </c>
      <c r="X198" s="156">
        <v>3</v>
      </c>
      <c r="Y198" s="157">
        <f>CEILING((IF(P198=AS_DEV_EFFORT, DEV_EFFORT*Q198%,
                           IF(P198=AS_DURATION_EFFORT, (MANUAL_DURATION*5)*Q198%,
                                    (IF(Q198&lt;=1,X198,
                                          IF(SUM(U198:W198)=0,(Q198*X198),
                                               (((Q198*U198)*(X198+(X198*EXTRA_FOR_H)))+
                                               ((Q198*V198)*X198)+
                                               ((Q198*W198)*(X198-(X198*LESS_FOR_L)))
                                    )*IF(R198=0,1,R198))))))+Z198), 0.25)</f>
        <v>3</v>
      </c>
      <c r="Z198" s="22"/>
      <c r="AA198" s="157">
        <f>Y198+Y198*VLOOKUP(I198,EXTRAS_ARRAY,2,FALSE)</f>
        <v>3</v>
      </c>
      <c r="AB198" s="20" t="s">
        <v>250</v>
      </c>
      <c r="AC198" s="34"/>
      <c r="AD198" s="23" t="str">
        <f>IF(J198&lt;&gt;"Yes",
IF(S198&lt;=0,"Error: Effort value is not defined or is invalid.",
IF(AND(SUM(U198:W198)&gt;0,SUM(U198:W198)&lt;&gt;1),"Error: Complexity % distribution should sum to 100%.",
IF(AND(P198=AS_DEV_EFFORT,X198&lt;&gt;0),"Error: PDs should not be defined when defining as dev effort %.",
IF(AND(P198=AS_DURATION_EFFORT,X198&lt;&gt;0),"Error: PDs should not be defined when defining as duration effort %.","")))))</f>
        <v/>
      </c>
    </row>
    <row r="199" spans="1:30" s="9" customFormat="1" ht="7.5" customHeight="1" outlineLevel="2" x14ac:dyDescent="0.35">
      <c r="A199" s="86" t="s">
        <v>70</v>
      </c>
      <c r="B199" s="15"/>
      <c r="C199" s="72"/>
      <c r="D199" s="72"/>
      <c r="E199" s="72"/>
      <c r="F199" s="72"/>
      <c r="M199" s="252"/>
      <c r="T199" s="15"/>
      <c r="X199" s="15"/>
      <c r="AB199" s="10"/>
      <c r="AC199" s="10"/>
      <c r="AD199" s="10"/>
    </row>
    <row r="200" spans="1:30" s="14" customFormat="1" ht="15.5" customHeight="1" outlineLevel="1" x14ac:dyDescent="0.35">
      <c r="A200" s="86" t="s">
        <v>55</v>
      </c>
      <c r="B200" s="18"/>
      <c r="C200" s="77"/>
      <c r="D200" s="77"/>
      <c r="E200" s="77"/>
      <c r="F200" s="76"/>
      <c r="G200" s="29"/>
      <c r="H200" s="29"/>
      <c r="I200" s="29"/>
      <c r="J200" s="29"/>
      <c r="K200" s="29"/>
      <c r="L200" s="17">
        <f ca="1">LOOKUP(1000,INDIRECT("L1:"&amp;CELL("address",INDIRECT("R[-1]C",FALSE))))+1</f>
        <v>29</v>
      </c>
      <c r="M200" s="287" t="s">
        <v>171</v>
      </c>
      <c r="N200" s="288"/>
      <c r="O200" s="5"/>
      <c r="P200" s="30"/>
      <c r="Q200" s="30"/>
      <c r="R200" s="30"/>
      <c r="S200" s="30"/>
      <c r="T200" s="155">
        <f>IF($S$6="Exclude", SUMIFS(S201:S203, J201:J203, "&lt;&gt;Yes", G201:G203, "&lt;&gt;Yes"), SUMIFS(S201:S203, J201:J203, "&lt;&gt;Yes"))</f>
        <v>20</v>
      </c>
      <c r="U200" s="30"/>
      <c r="V200" s="30"/>
      <c r="W200" s="30"/>
      <c r="X200" s="31"/>
      <c r="Y200" s="32"/>
      <c r="Z200" s="32"/>
      <c r="AA200" s="32"/>
      <c r="AB200" s="219" t="s">
        <v>167</v>
      </c>
      <c r="AC200" s="33"/>
      <c r="AD200" s="23" t="str">
        <f>IF(M200="", "Error: Task name cannot be empty.", "")</f>
        <v/>
      </c>
    </row>
    <row r="201" spans="1:30" s="12" customFormat="1" ht="1.5" customHeight="1" outlineLevel="2" x14ac:dyDescent="0.35">
      <c r="A201" s="86" t="s">
        <v>57</v>
      </c>
      <c r="B201" s="18"/>
      <c r="C201" s="77"/>
      <c r="D201" s="77"/>
      <c r="E201" s="77"/>
      <c r="F201" s="76"/>
      <c r="G201" s="29"/>
      <c r="H201" s="29"/>
      <c r="I201" s="29"/>
      <c r="J201" s="29"/>
      <c r="K201" s="29"/>
      <c r="L201" s="163">
        <f ca="1">L200</f>
        <v>29</v>
      </c>
      <c r="M201" s="164" t="s">
        <v>58</v>
      </c>
      <c r="N201" s="161"/>
      <c r="O201" s="162"/>
      <c r="P201" s="30"/>
      <c r="Q201" s="30"/>
      <c r="R201" s="30"/>
      <c r="S201" s="30"/>
      <c r="T201" s="155"/>
      <c r="U201" s="30"/>
      <c r="V201" s="30"/>
      <c r="W201" s="30"/>
      <c r="X201" s="31"/>
      <c r="Y201" s="32"/>
      <c r="Z201" s="32"/>
      <c r="AA201" s="32"/>
      <c r="AB201" s="33"/>
      <c r="AC201" s="33"/>
      <c r="AD201" s="23"/>
    </row>
    <row r="202" spans="1:30" ht="58" customHeight="1" outlineLevel="2" x14ac:dyDescent="0.35">
      <c r="A202" s="86" t="s">
        <v>52</v>
      </c>
      <c r="B202" s="18"/>
      <c r="C202" s="78"/>
      <c r="D202" s="78"/>
      <c r="E202" s="78"/>
      <c r="F202" s="79"/>
      <c r="G202" s="19" t="s">
        <v>59</v>
      </c>
      <c r="H202" s="19" t="s">
        <v>251</v>
      </c>
      <c r="I202" s="20" t="s">
        <v>125</v>
      </c>
      <c r="J202" s="19" t="s">
        <v>59</v>
      </c>
      <c r="K202" s="35"/>
      <c r="L202" s="19"/>
      <c r="M202" s="263" t="str">
        <f ca="1">IFERROR(OFFSET(M202,-1,,1,1)+0.1,OFFSET(M202,-1,-1,1,1)&amp;".1")</f>
        <v>29.1</v>
      </c>
      <c r="N202" s="20" t="s">
        <v>252</v>
      </c>
      <c r="O202" s="20" t="s">
        <v>253</v>
      </c>
      <c r="P202" s="20"/>
      <c r="Q202" s="134"/>
      <c r="R202" s="127"/>
      <c r="S202" s="157">
        <f>CEILING((IF(J202="Yes", 0, IF(H202="-",AA202,AA202+AA202*VLOOKUP(H202,BUFFERS_BY_TYPE,2,FALSE)))) +
   (IF(J202="Yes", 0, IF(H202="-",AA202,AA202+AA202*VLOOKUP(H202,BUFFERS_BY_TYPE,2,FALSE))))*VLOOKUP($S$5, SALES_CALL_SCALE_ARRAY, 2,FALSE),0.25)</f>
        <v>20</v>
      </c>
      <c r="T202" s="158"/>
      <c r="U202" s="21">
        <v>0</v>
      </c>
      <c r="V202" s="21">
        <v>1</v>
      </c>
      <c r="W202" s="21">
        <v>0</v>
      </c>
      <c r="X202" s="156">
        <v>15</v>
      </c>
      <c r="Y202" s="157">
        <f>CEILING((IF(P202=AS_DEV_EFFORT, DEV_EFFORT*Q202%,
                           IF(P202=AS_DURATION_EFFORT, (MANUAL_DURATION*5)*Q202%,
                                    (IF(Q202&lt;=1,X202,
                                          IF(SUM(U202:W202)=0,(Q202*X202),
                                               (((Q202*U202)*(X202+(X202*EXTRA_FOR_H)))+
                                               ((Q202*V202)*X202)+
                                               ((Q202*W202)*(X202-(X202*LESS_FOR_L)))
                                    )*IF(R202=0,1,R202))))))+Z202), 0.25)</f>
        <v>15</v>
      </c>
      <c r="Z202" s="22"/>
      <c r="AA202" s="157">
        <f>Y202+Y202*VLOOKUP(I202,EXTRAS_ARRAY,2,FALSE)</f>
        <v>16.5</v>
      </c>
      <c r="AB202" s="20" t="s">
        <v>254</v>
      </c>
      <c r="AC202" s="34"/>
      <c r="AD202" s="23" t="str">
        <f>IF(J202&lt;&gt;"Yes",
IF(S202&lt;=0,"Error: Effort value is not defined or is invalid.",
IF(AND(SUM(U202:W202)&gt;0,SUM(U202:W202)&lt;&gt;1),"Error: Complexity % distribution should sum to 100%.",
IF(AND(P202=AS_DEV_EFFORT,X202&lt;&gt;0),"Error: PDs should not be defined when defining as dev effort %.",
IF(AND(P202=AS_DURATION_EFFORT,X202&lt;&gt;0),"Error: PDs should not be defined when defining as duration effort %.","")))))</f>
        <v/>
      </c>
    </row>
    <row r="203" spans="1:30" s="9" customFormat="1" ht="7.5" customHeight="1" outlineLevel="2" x14ac:dyDescent="0.35">
      <c r="A203" s="86" t="s">
        <v>70</v>
      </c>
      <c r="B203" s="15"/>
      <c r="C203" s="72"/>
      <c r="D203" s="72"/>
      <c r="E203" s="72"/>
      <c r="F203" s="72"/>
      <c r="M203" s="252"/>
      <c r="T203" s="15"/>
      <c r="X203" s="15"/>
      <c r="AB203" s="10"/>
      <c r="AC203" s="10"/>
      <c r="AD203" s="10"/>
    </row>
    <row r="204" spans="1:30" s="14" customFormat="1" ht="15.5" customHeight="1" outlineLevel="1" x14ac:dyDescent="0.35">
      <c r="A204" s="86" t="s">
        <v>55</v>
      </c>
      <c r="B204" s="18"/>
      <c r="C204" s="77"/>
      <c r="D204" s="77"/>
      <c r="E204" s="77"/>
      <c r="F204" s="76"/>
      <c r="G204" s="29"/>
      <c r="H204" s="29"/>
      <c r="I204" s="29"/>
      <c r="J204" s="29"/>
      <c r="K204" s="29"/>
      <c r="L204" s="17">
        <f ca="1">LOOKUP(1000,INDIRECT("L1:"&amp;CELL("address",INDIRECT("R[-1]C",FALSE))))+1</f>
        <v>30</v>
      </c>
      <c r="M204" s="287" t="s">
        <v>175</v>
      </c>
      <c r="N204" s="288"/>
      <c r="O204" s="5"/>
      <c r="P204" s="30"/>
      <c r="Q204" s="30"/>
      <c r="R204" s="30"/>
      <c r="S204" s="30"/>
      <c r="T204" s="155">
        <f>IF($S$6="Exclude", SUMIFS(S205:S207, J205:J207, "&lt;&gt;Yes", G205:G207, "&lt;&gt;Yes"), SUMIFS(S205:S207, J205:J207, "&lt;&gt;Yes"))</f>
        <v>9.25</v>
      </c>
      <c r="U204" s="30"/>
      <c r="V204" s="30"/>
      <c r="W204" s="30"/>
      <c r="X204" s="31"/>
      <c r="Y204" s="32"/>
      <c r="Z204" s="32"/>
      <c r="AA204" s="32"/>
      <c r="AB204" s="219" t="s">
        <v>167</v>
      </c>
      <c r="AC204" s="33"/>
      <c r="AD204" s="23" t="str">
        <f>IF(M204="", "Error: Task name cannot be empty.", "")</f>
        <v/>
      </c>
    </row>
    <row r="205" spans="1:30" s="12" customFormat="1" ht="1.5" customHeight="1" outlineLevel="2" x14ac:dyDescent="0.35">
      <c r="A205" s="86" t="s">
        <v>57</v>
      </c>
      <c r="B205" s="18"/>
      <c r="C205" s="77"/>
      <c r="D205" s="77"/>
      <c r="E205" s="77"/>
      <c r="F205" s="76"/>
      <c r="G205" s="29"/>
      <c r="H205" s="29"/>
      <c r="I205" s="29"/>
      <c r="J205" s="29"/>
      <c r="K205" s="29"/>
      <c r="L205" s="163">
        <f ca="1">L204</f>
        <v>30</v>
      </c>
      <c r="M205" s="164" t="s">
        <v>58</v>
      </c>
      <c r="N205" s="161"/>
      <c r="O205" s="162"/>
      <c r="P205" s="30"/>
      <c r="Q205" s="30"/>
      <c r="R205" s="30"/>
      <c r="S205" s="30"/>
      <c r="T205" s="155"/>
      <c r="U205" s="30"/>
      <c r="V205" s="30"/>
      <c r="W205" s="30"/>
      <c r="X205" s="31"/>
      <c r="Y205" s="32"/>
      <c r="Z205" s="32"/>
      <c r="AA205" s="32"/>
      <c r="AB205" s="33"/>
      <c r="AC205" s="33"/>
      <c r="AD205" s="23"/>
    </row>
    <row r="206" spans="1:30" ht="43.5" customHeight="1" outlineLevel="2" x14ac:dyDescent="0.35">
      <c r="A206" s="86" t="s">
        <v>52</v>
      </c>
      <c r="B206" s="18"/>
      <c r="C206" s="78"/>
      <c r="D206" s="78"/>
      <c r="E206" s="78"/>
      <c r="F206" s="79"/>
      <c r="G206" s="19" t="s">
        <v>59</v>
      </c>
      <c r="H206" s="19" t="s">
        <v>66</v>
      </c>
      <c r="I206" s="20" t="s">
        <v>59</v>
      </c>
      <c r="J206" s="19" t="s">
        <v>59</v>
      </c>
      <c r="K206" s="35"/>
      <c r="L206" s="19"/>
      <c r="M206" s="263" t="str">
        <f ca="1">IFERROR(OFFSET(M206,-1,,1,1)+0.1,OFFSET(M206,-1,-1,1,1)&amp;".1")</f>
        <v>30.1</v>
      </c>
      <c r="N206" s="20" t="s">
        <v>255</v>
      </c>
      <c r="O206" s="20" t="s">
        <v>256</v>
      </c>
      <c r="P206" s="20"/>
      <c r="Q206" s="134"/>
      <c r="R206" s="127"/>
      <c r="S206" s="157">
        <f>CEILING((IF(J206="Yes", 0, IF(H206="-",AA206,AA206+AA206*VLOOKUP(H206,BUFFERS_BY_TYPE,2,FALSE)))) +
   (IF(J206="Yes", 0, IF(H206="-",AA206,AA206+AA206*VLOOKUP(H206,BUFFERS_BY_TYPE,2,FALSE))))*VLOOKUP($S$5, SALES_CALL_SCALE_ARRAY, 2,FALSE),0.25)</f>
        <v>9.25</v>
      </c>
      <c r="T206" s="158"/>
      <c r="U206" s="21">
        <v>0</v>
      </c>
      <c r="V206" s="21">
        <v>1</v>
      </c>
      <c r="W206" s="21">
        <v>0</v>
      </c>
      <c r="X206" s="156">
        <v>8</v>
      </c>
      <c r="Y206" s="157">
        <f>CEILING((IF(P206=AS_DEV_EFFORT, DEV_EFFORT*Q206%,
                           IF(P206=AS_DURATION_EFFORT, (MANUAL_DURATION*5)*Q206%,
                                    (IF(Q206&lt;=1,X206,
                                          IF(SUM(U206:W206)=0,(Q206*X206),
                                               (((Q206*U206)*(X206+(X206*EXTRA_FOR_H)))+
                                               ((Q206*V206)*X206)+
                                               ((Q206*W206)*(X206-(X206*LESS_FOR_L)))
                                    )*IF(R206=0,1,R206))))))+Z206), 0.25)</f>
        <v>8</v>
      </c>
      <c r="Z206" s="22"/>
      <c r="AA206" s="157">
        <f>Y206+Y206*VLOOKUP(I206,EXTRAS_ARRAY,2,FALSE)</f>
        <v>8</v>
      </c>
      <c r="AB206" s="20" t="s">
        <v>257</v>
      </c>
      <c r="AC206" s="34"/>
      <c r="AD206" s="23" t="str">
        <f>IF(J206&lt;&gt;"Yes",
IF(S206&lt;=0,"Error: Effort value is not defined or is invalid.",
IF(AND(SUM(U206:W206)&gt;0,SUM(U206:W206)&lt;&gt;1),"Error: Complexity % distribution should sum to 100%.",
IF(AND(P206=AS_DEV_EFFORT,X206&lt;&gt;0),"Error: PDs should not be defined when defining as dev effort %.",
IF(AND(P206=AS_DURATION_EFFORT,X206&lt;&gt;0),"Error: PDs should not be defined when defining as duration effort %.","")))))</f>
        <v/>
      </c>
    </row>
    <row r="207" spans="1:30" s="9" customFormat="1" ht="7.5" customHeight="1" outlineLevel="2" x14ac:dyDescent="0.35">
      <c r="A207" s="86" t="s">
        <v>70</v>
      </c>
      <c r="B207" s="15"/>
      <c r="C207" s="72"/>
      <c r="D207" s="72"/>
      <c r="E207" s="72"/>
      <c r="F207" s="72"/>
      <c r="M207" s="252"/>
      <c r="T207" s="15"/>
      <c r="X207" s="15"/>
      <c r="AB207" s="10"/>
      <c r="AC207" s="10"/>
      <c r="AD207" s="10"/>
    </row>
    <row r="208" spans="1:30" s="14" customFormat="1" ht="15.5" customHeight="1" outlineLevel="1" x14ac:dyDescent="0.35">
      <c r="A208" s="86" t="s">
        <v>55</v>
      </c>
      <c r="B208" s="18"/>
      <c r="C208" s="77"/>
      <c r="D208" s="77"/>
      <c r="E208" s="77"/>
      <c r="F208" s="76"/>
      <c r="G208" s="29"/>
      <c r="H208" s="29"/>
      <c r="I208" s="29"/>
      <c r="J208" s="29"/>
      <c r="K208" s="29"/>
      <c r="L208" s="17">
        <f ca="1">LOOKUP(1000,INDIRECT("L1:"&amp;CELL("address",INDIRECT("R[-1]C",FALSE))))+1</f>
        <v>31</v>
      </c>
      <c r="M208" s="287" t="s">
        <v>179</v>
      </c>
      <c r="N208" s="288"/>
      <c r="O208" s="5"/>
      <c r="P208" s="30"/>
      <c r="Q208" s="30"/>
      <c r="R208" s="30"/>
      <c r="S208" s="30"/>
      <c r="T208" s="155">
        <f>IF($S$6="Exclude", SUMIFS(S209:S211, J209:J211, "&lt;&gt;Yes", G209:G211, "&lt;&gt;Yes"), SUMIFS(S209:S211, J209:J211, "&lt;&gt;Yes"))</f>
        <v>9.25</v>
      </c>
      <c r="U208" s="30"/>
      <c r="V208" s="30"/>
      <c r="W208" s="30"/>
      <c r="X208" s="31"/>
      <c r="Y208" s="32"/>
      <c r="Z208" s="32"/>
      <c r="AA208" s="32"/>
      <c r="AB208" s="219" t="s">
        <v>167</v>
      </c>
      <c r="AC208" s="33"/>
      <c r="AD208" s="23" t="str">
        <f>IF(M208="", "Error: Task name cannot be empty.", "")</f>
        <v/>
      </c>
    </row>
    <row r="209" spans="1:30" s="12" customFormat="1" ht="1.5" customHeight="1" outlineLevel="2" x14ac:dyDescent="0.35">
      <c r="A209" s="86" t="s">
        <v>57</v>
      </c>
      <c r="B209" s="18"/>
      <c r="C209" s="77"/>
      <c r="D209" s="77"/>
      <c r="E209" s="77"/>
      <c r="F209" s="76"/>
      <c r="G209" s="29"/>
      <c r="H209" s="29"/>
      <c r="I209" s="29"/>
      <c r="J209" s="29"/>
      <c r="K209" s="29"/>
      <c r="L209" s="163">
        <f ca="1">L208</f>
        <v>31</v>
      </c>
      <c r="M209" s="164" t="s">
        <v>58</v>
      </c>
      <c r="N209" s="161"/>
      <c r="O209" s="162"/>
      <c r="P209" s="30"/>
      <c r="Q209" s="30"/>
      <c r="R209" s="30"/>
      <c r="S209" s="30"/>
      <c r="T209" s="155"/>
      <c r="U209" s="30"/>
      <c r="V209" s="30"/>
      <c r="W209" s="30"/>
      <c r="X209" s="31"/>
      <c r="Y209" s="32"/>
      <c r="Z209" s="32"/>
      <c r="AA209" s="32"/>
      <c r="AB209" s="33"/>
      <c r="AC209" s="33"/>
      <c r="AD209" s="23"/>
    </row>
    <row r="210" spans="1:30" ht="43.5" customHeight="1" outlineLevel="2" x14ac:dyDescent="0.35">
      <c r="A210" s="86" t="s">
        <v>52</v>
      </c>
      <c r="B210" s="18"/>
      <c r="C210" s="78"/>
      <c r="D210" s="78"/>
      <c r="E210" s="78"/>
      <c r="F210" s="79"/>
      <c r="G210" s="19" t="s">
        <v>59</v>
      </c>
      <c r="H210" s="19" t="s">
        <v>66</v>
      </c>
      <c r="I210" s="20" t="s">
        <v>59</v>
      </c>
      <c r="J210" s="19" t="s">
        <v>59</v>
      </c>
      <c r="K210" s="35"/>
      <c r="L210" s="19"/>
      <c r="M210" s="263" t="str">
        <f ca="1">IFERROR(OFFSET(M210,-1,,1,1)+0.1,OFFSET(M210,-1,-1,1,1)&amp;".1")</f>
        <v>31.1</v>
      </c>
      <c r="N210" s="20" t="s">
        <v>258</v>
      </c>
      <c r="O210" s="20" t="s">
        <v>259</v>
      </c>
      <c r="P210" s="20"/>
      <c r="Q210" s="134"/>
      <c r="R210" s="127"/>
      <c r="S210" s="157">
        <f>CEILING((IF(J210="Yes", 0, IF(H210="-",AA210,AA210+AA210*VLOOKUP(H210,BUFFERS_BY_TYPE,2,FALSE)))) +
   (IF(J210="Yes", 0, IF(H210="-",AA210,AA210+AA210*VLOOKUP(H210,BUFFERS_BY_TYPE,2,FALSE))))*VLOOKUP($S$5, SALES_CALL_SCALE_ARRAY, 2,FALSE),0.25)</f>
        <v>9.25</v>
      </c>
      <c r="T210" s="158"/>
      <c r="U210" s="21">
        <v>0</v>
      </c>
      <c r="V210" s="21">
        <v>1</v>
      </c>
      <c r="W210" s="21">
        <v>0</v>
      </c>
      <c r="X210" s="156">
        <v>8</v>
      </c>
      <c r="Y210" s="157">
        <f>CEILING((IF(P210=AS_DEV_EFFORT, DEV_EFFORT*Q210%,
                           IF(P210=AS_DURATION_EFFORT, (MANUAL_DURATION*5)*Q210%,
                                    (IF(Q210&lt;=1,X210,
                                          IF(SUM(U210:W210)=0,(Q210*X210),
                                               (((Q210*U210)*(X210+(X210*EXTRA_FOR_H)))+
                                               ((Q210*V210)*X210)+
                                               ((Q210*W210)*(X210-(X210*LESS_FOR_L)))
                                    )*IF(R210=0,1,R210))))))+Z210), 0.25)</f>
        <v>8</v>
      </c>
      <c r="Z210" s="22"/>
      <c r="AA210" s="157">
        <f>Y210+Y210*VLOOKUP(I210,EXTRAS_ARRAY,2,FALSE)</f>
        <v>8</v>
      </c>
      <c r="AB210" s="20" t="s">
        <v>260</v>
      </c>
      <c r="AC210" s="34"/>
      <c r="AD210" s="23" t="str">
        <f>IF(J210&lt;&gt;"Yes",
IF(S210&lt;=0,"Error: Effort value is not defined or is invalid.",
IF(AND(SUM(U210:W210)&gt;0,SUM(U210:W210)&lt;&gt;1),"Error: Complexity % distribution should sum to 100%.",
IF(AND(P210=AS_DEV_EFFORT,X210&lt;&gt;0),"Error: PDs should not be defined when defining as dev effort %.",
IF(AND(P210=AS_DURATION_EFFORT,X210&lt;&gt;0),"Error: PDs should not be defined when defining as duration effort %.","")))))</f>
        <v/>
      </c>
    </row>
    <row r="211" spans="1:30" s="9" customFormat="1" ht="7.5" customHeight="1" outlineLevel="2" x14ac:dyDescent="0.35">
      <c r="A211" s="86" t="s">
        <v>70</v>
      </c>
      <c r="B211" s="15"/>
      <c r="C211" s="72"/>
      <c r="D211" s="72"/>
      <c r="E211" s="72"/>
      <c r="F211" s="72"/>
      <c r="M211" s="252"/>
      <c r="T211" s="15"/>
      <c r="X211" s="15"/>
      <c r="AB211" s="10"/>
      <c r="AC211" s="10"/>
      <c r="AD211" s="10"/>
    </row>
    <row r="212" spans="1:30" s="14" customFormat="1" ht="15.5" customHeight="1" outlineLevel="1" x14ac:dyDescent="0.35">
      <c r="A212" s="86" t="s">
        <v>55</v>
      </c>
      <c r="B212" s="18"/>
      <c r="C212" s="77"/>
      <c r="D212" s="77"/>
      <c r="E212" s="77"/>
      <c r="F212" s="76"/>
      <c r="G212" s="29"/>
      <c r="H212" s="29"/>
      <c r="I212" s="29"/>
      <c r="J212" s="29"/>
      <c r="K212" s="29"/>
      <c r="L212" s="17">
        <f ca="1">LOOKUP(1000,INDIRECT("L1:"&amp;CELL("address",INDIRECT("R[-1]C",FALSE))))+1</f>
        <v>32</v>
      </c>
      <c r="M212" s="287" t="s">
        <v>183</v>
      </c>
      <c r="N212" s="288"/>
      <c r="O212" s="5"/>
      <c r="P212" s="30"/>
      <c r="Q212" s="30"/>
      <c r="R212" s="30"/>
      <c r="S212" s="30"/>
      <c r="T212" s="155">
        <f>IF($S$6="Exclude", SUMIFS(S213:S215, J213:J215, "&lt;&gt;Yes", G213:G215, "&lt;&gt;Yes"), SUMIFS(S213:S215, J213:J215, "&lt;&gt;Yes"))</f>
        <v>3.5</v>
      </c>
      <c r="U212" s="30"/>
      <c r="V212" s="30"/>
      <c r="W212" s="30"/>
      <c r="X212" s="31"/>
      <c r="Y212" s="32"/>
      <c r="Z212" s="32"/>
      <c r="AA212" s="32"/>
      <c r="AB212" s="219" t="s">
        <v>167</v>
      </c>
      <c r="AC212" s="33"/>
      <c r="AD212" s="23" t="str">
        <f>IF(M212="", "Error: Task name cannot be empty.", "")</f>
        <v/>
      </c>
    </row>
    <row r="213" spans="1:30" s="12" customFormat="1" ht="1.5" customHeight="1" outlineLevel="2" x14ac:dyDescent="0.35">
      <c r="A213" s="86" t="s">
        <v>57</v>
      </c>
      <c r="B213" s="18"/>
      <c r="C213" s="77"/>
      <c r="D213" s="77"/>
      <c r="E213" s="77"/>
      <c r="F213" s="76"/>
      <c r="G213" s="29"/>
      <c r="H213" s="29"/>
      <c r="I213" s="29"/>
      <c r="J213" s="29"/>
      <c r="K213" s="29"/>
      <c r="L213" s="163">
        <f ca="1">L212</f>
        <v>32</v>
      </c>
      <c r="M213" s="164" t="s">
        <v>58</v>
      </c>
      <c r="N213" s="161"/>
      <c r="O213" s="162"/>
      <c r="P213" s="30"/>
      <c r="Q213" s="30"/>
      <c r="R213" s="30"/>
      <c r="S213" s="30"/>
      <c r="T213" s="155"/>
      <c r="U213" s="30"/>
      <c r="V213" s="30"/>
      <c r="W213" s="30"/>
      <c r="X213" s="31"/>
      <c r="Y213" s="32"/>
      <c r="Z213" s="32"/>
      <c r="AA213" s="32"/>
      <c r="AB213" s="33"/>
      <c r="AC213" s="33"/>
      <c r="AD213" s="23"/>
    </row>
    <row r="214" spans="1:30" ht="43.5" customHeight="1" outlineLevel="2" x14ac:dyDescent="0.35">
      <c r="A214" s="86" t="s">
        <v>52</v>
      </c>
      <c r="B214" s="18"/>
      <c r="C214" s="78"/>
      <c r="D214" s="78"/>
      <c r="E214" s="78"/>
      <c r="F214" s="79"/>
      <c r="G214" s="19" t="s">
        <v>59</v>
      </c>
      <c r="H214" s="19" t="s">
        <v>60</v>
      </c>
      <c r="I214" s="20" t="s">
        <v>59</v>
      </c>
      <c r="J214" s="19" t="s">
        <v>59</v>
      </c>
      <c r="K214" s="35"/>
      <c r="L214" s="19"/>
      <c r="M214" s="263" t="str">
        <f ca="1">IFERROR(OFFSET(M214,-1,,1,1)+0.1,OFFSET(M214,-1,-1,1,1)&amp;".1")</f>
        <v>32.1</v>
      </c>
      <c r="N214" s="20" t="s">
        <v>261</v>
      </c>
      <c r="O214" s="20" t="s">
        <v>262</v>
      </c>
      <c r="P214" s="20"/>
      <c r="Q214" s="134"/>
      <c r="R214" s="127"/>
      <c r="S214" s="157">
        <f>CEILING((IF(J214="Yes", 0, IF(H214="-",AA214,AA214+AA214*VLOOKUP(H214,BUFFERS_BY_TYPE,2,FALSE)))) +
   (IF(J214="Yes", 0, IF(H214="-",AA214,AA214+AA214*VLOOKUP(H214,BUFFERS_BY_TYPE,2,FALSE))))*VLOOKUP($S$5, SALES_CALL_SCALE_ARRAY, 2,FALSE),0.25)</f>
        <v>3.5</v>
      </c>
      <c r="T214" s="158"/>
      <c r="U214" s="21">
        <v>0</v>
      </c>
      <c r="V214" s="21">
        <v>1</v>
      </c>
      <c r="W214" s="21">
        <v>0</v>
      </c>
      <c r="X214" s="156">
        <v>3</v>
      </c>
      <c r="Y214" s="157">
        <f>CEILING((IF(P214=AS_DEV_EFFORT, DEV_EFFORT*Q214%,
                           IF(P214=AS_DURATION_EFFORT, (MANUAL_DURATION*5)*Q214%,
                                    (IF(Q214&lt;=1,X214,
                                          IF(SUM(U214:W214)=0,(Q214*X214),
                                               (((Q214*U214)*(X214+(X214*EXTRA_FOR_H)))+
                                               ((Q214*V214)*X214)+
                                               ((Q214*W214)*(X214-(X214*LESS_FOR_L)))
                                    )*IF(R214=0,1,R214))))))+Z214), 0.25)</f>
        <v>3</v>
      </c>
      <c r="Z214" s="22"/>
      <c r="AA214" s="157">
        <f>Y214+Y214*VLOOKUP(I214,EXTRAS_ARRAY,2,FALSE)</f>
        <v>3</v>
      </c>
      <c r="AB214" s="20" t="s">
        <v>263</v>
      </c>
      <c r="AC214" s="34"/>
      <c r="AD214" s="23" t="str">
        <f>IF(J214&lt;&gt;"Yes",
IF(S214&lt;=0,"Error: Effort value is not defined or is invalid.",
IF(AND(SUM(U214:W214)&gt;0,SUM(U214:W214)&lt;&gt;1),"Error: Complexity % distribution should sum to 100%.",
IF(AND(P214=AS_DEV_EFFORT,X214&lt;&gt;0),"Error: PDs should not be defined when defining as dev effort %.",
IF(AND(P214=AS_DURATION_EFFORT,X214&lt;&gt;0),"Error: PDs should not be defined when defining as duration effort %.","")))))</f>
        <v/>
      </c>
    </row>
    <row r="215" spans="1:30" s="9" customFormat="1" ht="7.5" customHeight="1" outlineLevel="2" x14ac:dyDescent="0.35">
      <c r="A215" s="86" t="s">
        <v>70</v>
      </c>
      <c r="B215" s="15"/>
      <c r="C215" s="72"/>
      <c r="D215" s="72"/>
      <c r="E215" s="72"/>
      <c r="F215" s="72"/>
      <c r="M215" s="252"/>
      <c r="T215" s="15"/>
      <c r="X215" s="15"/>
      <c r="AB215" s="10"/>
      <c r="AC215" s="10"/>
      <c r="AD215" s="10"/>
    </row>
    <row r="216" spans="1:30" s="14" customFormat="1" ht="15.5" customHeight="1" outlineLevel="1" x14ac:dyDescent="0.35">
      <c r="A216" s="86" t="s">
        <v>161</v>
      </c>
      <c r="B216" s="18"/>
      <c r="C216" s="77"/>
      <c r="D216" s="77"/>
      <c r="E216" s="77"/>
      <c r="F216" s="76"/>
      <c r="G216" s="170"/>
      <c r="H216" s="170"/>
      <c r="I216" s="170"/>
      <c r="J216" s="170"/>
      <c r="K216" s="170"/>
      <c r="L216" s="85" t="s">
        <v>23</v>
      </c>
      <c r="M216" s="296" t="s">
        <v>264</v>
      </c>
      <c r="N216" s="288"/>
      <c r="O216" s="80"/>
      <c r="P216" s="81"/>
      <c r="Q216" s="81"/>
      <c r="R216" s="81"/>
      <c r="S216" s="291">
        <f>SUMGROUP(ROW(), "T")</f>
        <v>27.75</v>
      </c>
      <c r="T216" s="292"/>
      <c r="U216" s="295"/>
      <c r="V216" s="288"/>
      <c r="W216" s="288"/>
      <c r="X216" s="82"/>
      <c r="Y216" s="83"/>
      <c r="Z216" s="83"/>
      <c r="AA216" s="83"/>
      <c r="AB216" s="221"/>
      <c r="AC216" s="84"/>
      <c r="AD216" s="23" t="str">
        <f>IF(M216="", "Error: Module name cannot be empty.", "")</f>
        <v/>
      </c>
    </row>
    <row r="217" spans="1:30" s="14" customFormat="1" ht="15.5" customHeight="1" outlineLevel="1" x14ac:dyDescent="0.35">
      <c r="A217" s="86" t="s">
        <v>55</v>
      </c>
      <c r="B217" s="18"/>
      <c r="C217" s="77"/>
      <c r="D217" s="77"/>
      <c r="E217" s="77"/>
      <c r="F217" s="76"/>
      <c r="G217" s="29"/>
      <c r="H217" s="29"/>
      <c r="I217" s="29"/>
      <c r="J217" s="29"/>
      <c r="K217" s="29"/>
      <c r="L217" s="17">
        <f ca="1">LOOKUP(1000,INDIRECT("L1:"&amp;CELL("address",INDIRECT("R[-1]C",FALSE))))+1</f>
        <v>33</v>
      </c>
      <c r="M217" s="287" t="s">
        <v>163</v>
      </c>
      <c r="N217" s="288"/>
      <c r="O217" s="5"/>
      <c r="P217" s="30"/>
      <c r="Q217" s="30"/>
      <c r="R217" s="30"/>
      <c r="S217" s="30"/>
      <c r="T217" s="155">
        <f>IF($S$6="Exclude", SUMIFS(S218:S220, J218:J220, "&lt;&gt;Yes", G218:G220, "&lt;&gt;Yes"), SUMIFS(S218:S220, J218:J220, "&lt;&gt;Yes"))</f>
        <v>3.5</v>
      </c>
      <c r="U217" s="30"/>
      <c r="V217" s="30"/>
      <c r="W217" s="30"/>
      <c r="X217" s="31"/>
      <c r="Y217" s="32"/>
      <c r="Z217" s="32"/>
      <c r="AA217" s="32"/>
      <c r="AB217" s="219" t="s">
        <v>167</v>
      </c>
      <c r="AC217" s="33"/>
      <c r="AD217" s="23" t="str">
        <f>IF(M217="", "Error: Task name cannot be empty.", "")</f>
        <v/>
      </c>
    </row>
    <row r="218" spans="1:30" s="12" customFormat="1" ht="1.5" customHeight="1" outlineLevel="2" x14ac:dyDescent="0.35">
      <c r="A218" s="86" t="s">
        <v>57</v>
      </c>
      <c r="B218" s="18"/>
      <c r="C218" s="77"/>
      <c r="D218" s="77"/>
      <c r="E218" s="77"/>
      <c r="F218" s="76"/>
      <c r="G218" s="29"/>
      <c r="H218" s="29"/>
      <c r="I218" s="29"/>
      <c r="J218" s="29"/>
      <c r="K218" s="29"/>
      <c r="L218" s="163">
        <f ca="1">L217</f>
        <v>33</v>
      </c>
      <c r="M218" s="164" t="s">
        <v>58</v>
      </c>
      <c r="N218" s="161"/>
      <c r="O218" s="162"/>
      <c r="P218" s="30"/>
      <c r="Q218" s="30"/>
      <c r="R218" s="30"/>
      <c r="S218" s="30"/>
      <c r="T218" s="155"/>
      <c r="U218" s="30"/>
      <c r="V218" s="30"/>
      <c r="W218" s="30"/>
      <c r="X218" s="31"/>
      <c r="Y218" s="32"/>
      <c r="Z218" s="32"/>
      <c r="AA218" s="32"/>
      <c r="AB218" s="33"/>
      <c r="AC218" s="33"/>
      <c r="AD218" s="23"/>
    </row>
    <row r="219" spans="1:30" ht="58" customHeight="1" outlineLevel="2" x14ac:dyDescent="0.35">
      <c r="A219" s="86" t="s">
        <v>52</v>
      </c>
      <c r="B219" s="18"/>
      <c r="C219" s="78"/>
      <c r="D219" s="78"/>
      <c r="E219" s="78"/>
      <c r="F219" s="79"/>
      <c r="G219" s="19" t="s">
        <v>59</v>
      </c>
      <c r="H219" s="19" t="s">
        <v>60</v>
      </c>
      <c r="I219" s="20" t="s">
        <v>59</v>
      </c>
      <c r="J219" s="19" t="s">
        <v>59</v>
      </c>
      <c r="K219" s="35"/>
      <c r="L219" s="19"/>
      <c r="M219" s="263" t="str">
        <f ca="1">IFERROR(OFFSET(M219,-1,,1,1)+0.1,OFFSET(M219,-1,-1,1,1)&amp;".1")</f>
        <v>33.1</v>
      </c>
      <c r="N219" s="20" t="s">
        <v>265</v>
      </c>
      <c r="O219" s="20" t="s">
        <v>266</v>
      </c>
      <c r="P219" s="20"/>
      <c r="Q219" s="134"/>
      <c r="R219" s="127"/>
      <c r="S219" s="157">
        <f>CEILING((IF(J219="Yes", 0, IF(H219="-",AA219,AA219+AA219*VLOOKUP(H219,BUFFERS_BY_TYPE,2,FALSE)))) +
   (IF(J219="Yes", 0, IF(H219="-",AA219,AA219+AA219*VLOOKUP(H219,BUFFERS_BY_TYPE,2,FALSE))))*VLOOKUP($S$5, SALES_CALL_SCALE_ARRAY, 2,FALSE),0.25)</f>
        <v>3.5</v>
      </c>
      <c r="T219" s="158"/>
      <c r="U219" s="21">
        <v>0</v>
      </c>
      <c r="V219" s="21">
        <v>1</v>
      </c>
      <c r="W219" s="21">
        <v>0</v>
      </c>
      <c r="X219" s="156">
        <v>3</v>
      </c>
      <c r="Y219" s="157">
        <f>CEILING((IF(P219=AS_DEV_EFFORT, DEV_EFFORT*Q219%,
                           IF(P219=AS_DURATION_EFFORT, (MANUAL_DURATION*5)*Q219%,
                                    (IF(Q219&lt;=1,X219,
                                          IF(SUM(U219:W219)=0,(Q219*X219),
                                               (((Q219*U219)*(X219+(X219*EXTRA_FOR_H)))+
                                               ((Q219*V219)*X219)+
                                               ((Q219*W219)*(X219-(X219*LESS_FOR_L)))
                                    )*IF(R219=0,1,R219))))))+Z219), 0.25)</f>
        <v>3</v>
      </c>
      <c r="Z219" s="22"/>
      <c r="AA219" s="157">
        <f>Y219+Y219*VLOOKUP(I219,EXTRAS_ARRAY,2,FALSE)</f>
        <v>3</v>
      </c>
      <c r="AB219" s="20" t="s">
        <v>267</v>
      </c>
      <c r="AC219" s="34"/>
      <c r="AD219" s="23" t="str">
        <f>IF(J219&lt;&gt;"Yes",
IF(S219&lt;=0,"Error: Effort value is not defined or is invalid.",
IF(AND(SUM(U219:W219)&gt;0,SUM(U219:W219)&lt;&gt;1),"Error: Complexity % distribution should sum to 100%.",
IF(AND(P219=AS_DEV_EFFORT,X219&lt;&gt;0),"Error: PDs should not be defined when defining as dev effort %.",
IF(AND(P219=AS_DURATION_EFFORT,X219&lt;&gt;0),"Error: PDs should not be defined when defining as duration effort %.","")))))</f>
        <v/>
      </c>
    </row>
    <row r="220" spans="1:30" s="9" customFormat="1" ht="7.5" customHeight="1" outlineLevel="2" x14ac:dyDescent="0.35">
      <c r="A220" s="86" t="s">
        <v>70</v>
      </c>
      <c r="B220" s="15"/>
      <c r="C220" s="72"/>
      <c r="D220" s="72"/>
      <c r="E220" s="72"/>
      <c r="F220" s="72"/>
      <c r="M220" s="252"/>
      <c r="T220" s="15"/>
      <c r="X220" s="15"/>
      <c r="AB220" s="10"/>
      <c r="AC220" s="10"/>
      <c r="AD220" s="10"/>
    </row>
    <row r="221" spans="1:30" s="14" customFormat="1" ht="15.5" customHeight="1" outlineLevel="1" x14ac:dyDescent="0.35">
      <c r="A221" s="86" t="s">
        <v>55</v>
      </c>
      <c r="B221" s="18"/>
      <c r="C221" s="77"/>
      <c r="D221" s="77"/>
      <c r="E221" s="77"/>
      <c r="F221" s="76"/>
      <c r="G221" s="29"/>
      <c r="H221" s="29"/>
      <c r="I221" s="29"/>
      <c r="J221" s="29"/>
      <c r="K221" s="29"/>
      <c r="L221" s="17">
        <f ca="1">LOOKUP(1000,INDIRECT("L1:"&amp;CELL("address",INDIRECT("R[-1]C",FALSE))))+1</f>
        <v>34</v>
      </c>
      <c r="M221" s="287" t="s">
        <v>166</v>
      </c>
      <c r="N221" s="288"/>
      <c r="O221" s="5"/>
      <c r="P221" s="30"/>
      <c r="Q221" s="30"/>
      <c r="R221" s="30"/>
      <c r="S221" s="30"/>
      <c r="T221" s="155">
        <f>IF($S$6="Exclude", SUMIFS(S222:S224, J222:J224, "&lt;&gt;Yes", G222:G224, "&lt;&gt;Yes"), SUMIFS(S222:S224, J222:J224, "&lt;&gt;Yes"))</f>
        <v>3.5</v>
      </c>
      <c r="U221" s="30"/>
      <c r="V221" s="30"/>
      <c r="W221" s="30"/>
      <c r="X221" s="31"/>
      <c r="Y221" s="32"/>
      <c r="Z221" s="32"/>
      <c r="AA221" s="32"/>
      <c r="AB221" s="219" t="s">
        <v>167</v>
      </c>
      <c r="AC221" s="33"/>
      <c r="AD221" s="23" t="str">
        <f>IF(M221="", "Error: Task name cannot be empty.", "")</f>
        <v/>
      </c>
    </row>
    <row r="222" spans="1:30" s="12" customFormat="1" ht="1.5" customHeight="1" outlineLevel="2" x14ac:dyDescent="0.35">
      <c r="A222" s="86" t="s">
        <v>57</v>
      </c>
      <c r="B222" s="18"/>
      <c r="C222" s="77"/>
      <c r="D222" s="77"/>
      <c r="E222" s="77"/>
      <c r="F222" s="76"/>
      <c r="G222" s="29"/>
      <c r="H222" s="29"/>
      <c r="I222" s="29"/>
      <c r="J222" s="29"/>
      <c r="K222" s="29"/>
      <c r="L222" s="163">
        <f ca="1">L221</f>
        <v>34</v>
      </c>
      <c r="M222" s="164" t="s">
        <v>58</v>
      </c>
      <c r="N222" s="161"/>
      <c r="O222" s="162"/>
      <c r="P222" s="30"/>
      <c r="Q222" s="30"/>
      <c r="R222" s="30"/>
      <c r="S222" s="30"/>
      <c r="T222" s="155"/>
      <c r="U222" s="30"/>
      <c r="V222" s="30"/>
      <c r="W222" s="30"/>
      <c r="X222" s="31"/>
      <c r="Y222" s="32"/>
      <c r="Z222" s="32"/>
      <c r="AA222" s="32"/>
      <c r="AB222" s="33"/>
      <c r="AC222" s="33"/>
      <c r="AD222" s="23"/>
    </row>
    <row r="223" spans="1:30" ht="58" customHeight="1" outlineLevel="2" x14ac:dyDescent="0.35">
      <c r="A223" s="86" t="s">
        <v>52</v>
      </c>
      <c r="B223" s="18"/>
      <c r="C223" s="78"/>
      <c r="D223" s="78"/>
      <c r="E223" s="78"/>
      <c r="F223" s="79"/>
      <c r="G223" s="19" t="s">
        <v>59</v>
      </c>
      <c r="H223" s="19" t="s">
        <v>60</v>
      </c>
      <c r="I223" s="20" t="s">
        <v>59</v>
      </c>
      <c r="J223" s="19" t="s">
        <v>59</v>
      </c>
      <c r="K223" s="35"/>
      <c r="L223" s="19"/>
      <c r="M223" s="263" t="str">
        <f ca="1">IFERROR(OFFSET(M223,-1,,1,1)+0.1,OFFSET(M223,-1,-1,1,1)&amp;".1")</f>
        <v>34.1</v>
      </c>
      <c r="N223" s="20" t="s">
        <v>268</v>
      </c>
      <c r="O223" s="20" t="s">
        <v>269</v>
      </c>
      <c r="P223" s="20"/>
      <c r="Q223" s="134"/>
      <c r="R223" s="127"/>
      <c r="S223" s="157">
        <f>CEILING((IF(J223="Yes", 0, IF(H223="-",AA223,AA223+AA223*VLOOKUP(H223,BUFFERS_BY_TYPE,2,FALSE)))) +
   (IF(J223="Yes", 0, IF(H223="-",AA223,AA223+AA223*VLOOKUP(H223,BUFFERS_BY_TYPE,2,FALSE))))*VLOOKUP($S$5, SALES_CALL_SCALE_ARRAY, 2,FALSE),0.25)</f>
        <v>3.5</v>
      </c>
      <c r="T223" s="158"/>
      <c r="U223" s="21">
        <v>0</v>
      </c>
      <c r="V223" s="21">
        <v>1</v>
      </c>
      <c r="W223" s="21">
        <v>0</v>
      </c>
      <c r="X223" s="156">
        <v>3</v>
      </c>
      <c r="Y223" s="157">
        <f>CEILING((IF(P223=AS_DEV_EFFORT, DEV_EFFORT*Q223%,
                           IF(P223=AS_DURATION_EFFORT, (MANUAL_DURATION*5)*Q223%,
                                    (IF(Q223&lt;=1,X223,
                                          IF(SUM(U223:W223)=0,(Q223*X223),
                                               (((Q223*U223)*(X223+(X223*EXTRA_FOR_H)))+
                                               ((Q223*V223)*X223)+
                                               ((Q223*W223)*(X223-(X223*LESS_FOR_L)))
                                    )*IF(R223=0,1,R223))))))+Z223), 0.25)</f>
        <v>3</v>
      </c>
      <c r="Z223" s="22"/>
      <c r="AA223" s="157">
        <f>Y223+Y223*VLOOKUP(I223,EXTRAS_ARRAY,2,FALSE)</f>
        <v>3</v>
      </c>
      <c r="AB223" s="20" t="s">
        <v>270</v>
      </c>
      <c r="AC223" s="34"/>
      <c r="AD223" s="23" t="str">
        <f>IF(J223&lt;&gt;"Yes",
IF(S223&lt;=0,"Error: Effort value is not defined or is invalid.",
IF(AND(SUM(U223:W223)&gt;0,SUM(U223:W223)&lt;&gt;1),"Error: Complexity % distribution should sum to 100%.",
IF(AND(P223=AS_DEV_EFFORT,X223&lt;&gt;0),"Error: PDs should not be defined when defining as dev effort %.",
IF(AND(P223=AS_DURATION_EFFORT,X223&lt;&gt;0),"Error: PDs should not be defined when defining as duration effort %.","")))))</f>
        <v/>
      </c>
    </row>
    <row r="224" spans="1:30" s="9" customFormat="1" ht="7.5" customHeight="1" outlineLevel="2" x14ac:dyDescent="0.35">
      <c r="A224" s="86" t="s">
        <v>70</v>
      </c>
      <c r="B224" s="15"/>
      <c r="C224" s="72"/>
      <c r="D224" s="72"/>
      <c r="E224" s="72"/>
      <c r="F224" s="72"/>
      <c r="M224" s="252"/>
      <c r="T224" s="15"/>
      <c r="X224" s="15"/>
      <c r="AB224" s="10"/>
      <c r="AC224" s="10"/>
      <c r="AD224" s="10"/>
    </row>
    <row r="225" spans="1:30" s="14" customFormat="1" ht="15.5" customHeight="1" outlineLevel="1" x14ac:dyDescent="0.35">
      <c r="A225" s="86" t="s">
        <v>55</v>
      </c>
      <c r="B225" s="18"/>
      <c r="C225" s="77"/>
      <c r="D225" s="77"/>
      <c r="E225" s="77"/>
      <c r="F225" s="76"/>
      <c r="G225" s="29"/>
      <c r="H225" s="29"/>
      <c r="I225" s="29"/>
      <c r="J225" s="29"/>
      <c r="K225" s="29"/>
      <c r="L225" s="17">
        <f ca="1">LOOKUP(1000,INDIRECT("L1:"&amp;CELL("address",INDIRECT("R[-1]C",FALSE))))+1</f>
        <v>35</v>
      </c>
      <c r="M225" s="287" t="s">
        <v>171</v>
      </c>
      <c r="N225" s="288"/>
      <c r="O225" s="5"/>
      <c r="P225" s="30"/>
      <c r="Q225" s="30"/>
      <c r="R225" s="30"/>
      <c r="S225" s="30"/>
      <c r="T225" s="155">
        <f>IF($S$6="Exclude", SUMIFS(S226:S228, J226:J228, "&lt;&gt;Yes", G226:G228, "&lt;&gt;Yes"), SUMIFS(S226:S228, J226:J228, "&lt;&gt;Yes"))</f>
        <v>12.75</v>
      </c>
      <c r="U225" s="30"/>
      <c r="V225" s="30"/>
      <c r="W225" s="30"/>
      <c r="X225" s="31"/>
      <c r="Y225" s="32"/>
      <c r="Z225" s="32"/>
      <c r="AA225" s="32"/>
      <c r="AB225" s="219" t="s">
        <v>167</v>
      </c>
      <c r="AC225" s="33"/>
      <c r="AD225" s="23" t="str">
        <f>IF(M225="", "Error: Task name cannot be empty.", "")</f>
        <v/>
      </c>
    </row>
    <row r="226" spans="1:30" s="12" customFormat="1" ht="1.5" customHeight="1" outlineLevel="2" x14ac:dyDescent="0.35">
      <c r="A226" s="86" t="s">
        <v>57</v>
      </c>
      <c r="B226" s="18"/>
      <c r="C226" s="77"/>
      <c r="D226" s="77"/>
      <c r="E226" s="77"/>
      <c r="F226" s="76"/>
      <c r="G226" s="29"/>
      <c r="H226" s="29"/>
      <c r="I226" s="29"/>
      <c r="J226" s="29"/>
      <c r="K226" s="29"/>
      <c r="L226" s="163">
        <f ca="1">L225</f>
        <v>35</v>
      </c>
      <c r="M226" s="164" t="s">
        <v>58</v>
      </c>
      <c r="N226" s="161"/>
      <c r="O226" s="162"/>
      <c r="P226" s="30"/>
      <c r="Q226" s="30"/>
      <c r="R226" s="30"/>
      <c r="S226" s="30"/>
      <c r="T226" s="155"/>
      <c r="U226" s="30"/>
      <c r="V226" s="30"/>
      <c r="W226" s="30"/>
      <c r="X226" s="31"/>
      <c r="Y226" s="32"/>
      <c r="Z226" s="32"/>
      <c r="AA226" s="32"/>
      <c r="AB226" s="33"/>
      <c r="AC226" s="33"/>
      <c r="AD226" s="23"/>
    </row>
    <row r="227" spans="1:30" ht="58" customHeight="1" outlineLevel="2" x14ac:dyDescent="0.35">
      <c r="A227" s="86" t="s">
        <v>52</v>
      </c>
      <c r="B227" s="18"/>
      <c r="C227" s="78"/>
      <c r="D227" s="78"/>
      <c r="E227" s="78"/>
      <c r="F227" s="79"/>
      <c r="G227" s="19" t="s">
        <v>59</v>
      </c>
      <c r="H227" s="19" t="s">
        <v>66</v>
      </c>
      <c r="I227" s="20" t="s">
        <v>125</v>
      </c>
      <c r="J227" s="19" t="s">
        <v>59</v>
      </c>
      <c r="K227" s="35"/>
      <c r="L227" s="19"/>
      <c r="M227" s="263" t="str">
        <f ca="1">IFERROR(OFFSET(M227,-1,,1,1)+0.1,OFFSET(M227,-1,-1,1,1)&amp;".1")</f>
        <v>35.1</v>
      </c>
      <c r="N227" s="20" t="s">
        <v>271</v>
      </c>
      <c r="O227" s="20" t="s">
        <v>272</v>
      </c>
      <c r="P227" s="20"/>
      <c r="Q227" s="134"/>
      <c r="R227" s="127"/>
      <c r="S227" s="157">
        <f>CEILING((IF(J227="Yes", 0, IF(H227="-",AA227,AA227+AA227*VLOOKUP(H227,BUFFERS_BY_TYPE,2,FALSE)))) +
   (IF(J227="Yes", 0, IF(H227="-",AA227,AA227+AA227*VLOOKUP(H227,BUFFERS_BY_TYPE,2,FALSE))))*VLOOKUP($S$5, SALES_CALL_SCALE_ARRAY, 2,FALSE),0.25)</f>
        <v>12.75</v>
      </c>
      <c r="T227" s="158"/>
      <c r="U227" s="21">
        <v>0</v>
      </c>
      <c r="V227" s="21">
        <v>1</v>
      </c>
      <c r="W227" s="21">
        <v>0</v>
      </c>
      <c r="X227" s="156">
        <v>10</v>
      </c>
      <c r="Y227" s="157">
        <f>CEILING((IF(P227=AS_DEV_EFFORT, DEV_EFFORT*Q227%,
                           IF(P227=AS_DURATION_EFFORT, (MANUAL_DURATION*5)*Q227%,
                                    (IF(Q227&lt;=1,X227,
                                          IF(SUM(U227:W227)=0,(Q227*X227),
                                               (((Q227*U227)*(X227+(X227*EXTRA_FOR_H)))+
                                               ((Q227*V227)*X227)+
                                               ((Q227*W227)*(X227-(X227*LESS_FOR_L)))
                                    )*IF(R227=0,1,R227))))))+Z227), 0.25)</f>
        <v>10</v>
      </c>
      <c r="Z227" s="22"/>
      <c r="AA227" s="157">
        <f>Y227+Y227*VLOOKUP(I227,EXTRAS_ARRAY,2,FALSE)</f>
        <v>11</v>
      </c>
      <c r="AB227" s="20" t="s">
        <v>273</v>
      </c>
      <c r="AC227" s="34"/>
      <c r="AD227" s="23" t="str">
        <f>IF(J227&lt;&gt;"Yes",
IF(S227&lt;=0,"Error: Effort value is not defined or is invalid.",
IF(AND(SUM(U227:W227)&gt;0,SUM(U227:W227)&lt;&gt;1),"Error: Complexity % distribution should sum to 100%.",
IF(AND(P227=AS_DEV_EFFORT,X227&lt;&gt;0),"Error: PDs should not be defined when defining as dev effort %.",
IF(AND(P227=AS_DURATION_EFFORT,X227&lt;&gt;0),"Error: PDs should not be defined when defining as duration effort %.","")))))</f>
        <v/>
      </c>
    </row>
    <row r="228" spans="1:30" s="9" customFormat="1" ht="7.5" customHeight="1" outlineLevel="2" x14ac:dyDescent="0.35">
      <c r="A228" s="86" t="s">
        <v>70</v>
      </c>
      <c r="B228" s="15"/>
      <c r="C228" s="72"/>
      <c r="D228" s="72"/>
      <c r="E228" s="72"/>
      <c r="F228" s="72"/>
      <c r="M228" s="252"/>
      <c r="T228" s="15"/>
      <c r="X228" s="15"/>
      <c r="AB228" s="10"/>
      <c r="AC228" s="10"/>
      <c r="AD228" s="10"/>
    </row>
    <row r="229" spans="1:30" s="14" customFormat="1" ht="15.5" customHeight="1" outlineLevel="1" x14ac:dyDescent="0.35">
      <c r="A229" s="86" t="s">
        <v>55</v>
      </c>
      <c r="B229" s="18"/>
      <c r="C229" s="77"/>
      <c r="D229" s="77"/>
      <c r="E229" s="77"/>
      <c r="F229" s="76"/>
      <c r="G229" s="29"/>
      <c r="H229" s="29"/>
      <c r="I229" s="29"/>
      <c r="J229" s="29"/>
      <c r="K229" s="29"/>
      <c r="L229" s="17">
        <f ca="1">LOOKUP(1000,INDIRECT("L1:"&amp;CELL("address",INDIRECT("R[-1]C",FALSE))))+1</f>
        <v>36</v>
      </c>
      <c r="M229" s="287" t="s">
        <v>175</v>
      </c>
      <c r="N229" s="288"/>
      <c r="O229" s="5"/>
      <c r="P229" s="30"/>
      <c r="Q229" s="30"/>
      <c r="R229" s="30"/>
      <c r="S229" s="30"/>
      <c r="T229" s="155">
        <f>IF($S$6="Exclude", SUMIFS(S230:S232, J230:J232, "&lt;&gt;Yes", G230:G232, "&lt;&gt;Yes"), SUMIFS(S230:S232, J230:J232, "&lt;&gt;Yes"))</f>
        <v>3.5</v>
      </c>
      <c r="U229" s="30"/>
      <c r="V229" s="30"/>
      <c r="W229" s="30"/>
      <c r="X229" s="31"/>
      <c r="Y229" s="32"/>
      <c r="Z229" s="32"/>
      <c r="AA229" s="32"/>
      <c r="AB229" s="219" t="s">
        <v>167</v>
      </c>
      <c r="AC229" s="33"/>
      <c r="AD229" s="23" t="str">
        <f>IF(M229="", "Error: Task name cannot be empty.", "")</f>
        <v/>
      </c>
    </row>
    <row r="230" spans="1:30" s="12" customFormat="1" ht="1.5" customHeight="1" outlineLevel="2" x14ac:dyDescent="0.35">
      <c r="A230" s="86" t="s">
        <v>57</v>
      </c>
      <c r="B230" s="18"/>
      <c r="C230" s="77"/>
      <c r="D230" s="77"/>
      <c r="E230" s="77"/>
      <c r="F230" s="76"/>
      <c r="G230" s="29"/>
      <c r="H230" s="29"/>
      <c r="I230" s="29"/>
      <c r="J230" s="29"/>
      <c r="K230" s="29"/>
      <c r="L230" s="163">
        <f ca="1">L229</f>
        <v>36</v>
      </c>
      <c r="M230" s="164" t="s">
        <v>58</v>
      </c>
      <c r="N230" s="161"/>
      <c r="O230" s="162"/>
      <c r="P230" s="30"/>
      <c r="Q230" s="30"/>
      <c r="R230" s="30"/>
      <c r="S230" s="30"/>
      <c r="T230" s="155"/>
      <c r="U230" s="30"/>
      <c r="V230" s="30"/>
      <c r="W230" s="30"/>
      <c r="X230" s="31"/>
      <c r="Y230" s="32"/>
      <c r="Z230" s="32"/>
      <c r="AA230" s="32"/>
      <c r="AB230" s="33"/>
      <c r="AC230" s="33"/>
      <c r="AD230" s="23"/>
    </row>
    <row r="231" spans="1:30" ht="29" customHeight="1" outlineLevel="2" x14ac:dyDescent="0.35">
      <c r="A231" s="86" t="s">
        <v>52</v>
      </c>
      <c r="B231" s="18"/>
      <c r="C231" s="78"/>
      <c r="D231" s="78"/>
      <c r="E231" s="78"/>
      <c r="F231" s="79"/>
      <c r="G231" s="19" t="s">
        <v>59</v>
      </c>
      <c r="H231" s="19" t="s">
        <v>60</v>
      </c>
      <c r="I231" s="20" t="s">
        <v>59</v>
      </c>
      <c r="J231" s="19" t="s">
        <v>59</v>
      </c>
      <c r="K231" s="35"/>
      <c r="L231" s="19"/>
      <c r="M231" s="263" t="str">
        <f ca="1">IFERROR(OFFSET(M231,-1,,1,1)+0.1,OFFSET(M231,-1,-1,1,1)&amp;".1")</f>
        <v>36.1</v>
      </c>
      <c r="N231" s="20" t="s">
        <v>274</v>
      </c>
      <c r="O231" s="20" t="s">
        <v>275</v>
      </c>
      <c r="P231" s="20"/>
      <c r="Q231" s="134"/>
      <c r="R231" s="127"/>
      <c r="S231" s="157">
        <f>CEILING((IF(J231="Yes", 0, IF(H231="-",AA231,AA231+AA231*VLOOKUP(H231,BUFFERS_BY_TYPE,2,FALSE)))) +
   (IF(J231="Yes", 0, IF(H231="-",AA231,AA231+AA231*VLOOKUP(H231,BUFFERS_BY_TYPE,2,FALSE))))*VLOOKUP($S$5, SALES_CALL_SCALE_ARRAY, 2,FALSE),0.25)</f>
        <v>3.5</v>
      </c>
      <c r="T231" s="158"/>
      <c r="U231" s="21">
        <v>0</v>
      </c>
      <c r="V231" s="21">
        <v>1</v>
      </c>
      <c r="W231" s="21">
        <v>0</v>
      </c>
      <c r="X231" s="156">
        <v>3</v>
      </c>
      <c r="Y231" s="157">
        <f>CEILING((IF(P231=AS_DEV_EFFORT, DEV_EFFORT*Q231%,
                           IF(P231=AS_DURATION_EFFORT, (MANUAL_DURATION*5)*Q231%,
                                    (IF(Q231&lt;=1,X231,
                                          IF(SUM(U231:W231)=0,(Q231*X231),
                                               (((Q231*U231)*(X231+(X231*EXTRA_FOR_H)))+
                                               ((Q231*V231)*X231)+
                                               ((Q231*W231)*(X231-(X231*LESS_FOR_L)))
                                    )*IF(R231=0,1,R231))))))+Z231), 0.25)</f>
        <v>3</v>
      </c>
      <c r="Z231" s="22"/>
      <c r="AA231" s="157">
        <f>Y231+Y231*VLOOKUP(I231,EXTRAS_ARRAY,2,FALSE)</f>
        <v>3</v>
      </c>
      <c r="AB231" s="20" t="s">
        <v>276</v>
      </c>
      <c r="AC231" s="34"/>
      <c r="AD231" s="23" t="str">
        <f>IF(J231&lt;&gt;"Yes",
IF(S231&lt;=0,"Error: Effort value is not defined or is invalid.",
IF(AND(SUM(U231:W231)&gt;0,SUM(U231:W231)&lt;&gt;1),"Error: Complexity % distribution should sum to 100%.",
IF(AND(P231=AS_DEV_EFFORT,X231&lt;&gt;0),"Error: PDs should not be defined when defining as dev effort %.",
IF(AND(P231=AS_DURATION_EFFORT,X231&lt;&gt;0),"Error: PDs should not be defined when defining as duration effort %.","")))))</f>
        <v/>
      </c>
    </row>
    <row r="232" spans="1:30" s="9" customFormat="1" ht="7.5" customHeight="1" outlineLevel="2" x14ac:dyDescent="0.35">
      <c r="A232" s="86" t="s">
        <v>70</v>
      </c>
      <c r="B232" s="15"/>
      <c r="C232" s="72"/>
      <c r="D232" s="72"/>
      <c r="E232" s="72"/>
      <c r="F232" s="72"/>
      <c r="M232" s="252"/>
      <c r="T232" s="15"/>
      <c r="X232" s="15"/>
      <c r="AB232" s="10"/>
      <c r="AC232" s="10"/>
      <c r="AD232" s="10"/>
    </row>
    <row r="233" spans="1:30" s="14" customFormat="1" ht="15.5" customHeight="1" outlineLevel="1" x14ac:dyDescent="0.35">
      <c r="A233" s="86" t="s">
        <v>55</v>
      </c>
      <c r="B233" s="18"/>
      <c r="C233" s="77"/>
      <c r="D233" s="77"/>
      <c r="E233" s="77"/>
      <c r="F233" s="76"/>
      <c r="G233" s="29"/>
      <c r="H233" s="29"/>
      <c r="I233" s="29"/>
      <c r="J233" s="29"/>
      <c r="K233" s="29"/>
      <c r="L233" s="17">
        <f ca="1">LOOKUP(1000,INDIRECT("L1:"&amp;CELL("address",INDIRECT("R[-1]C",FALSE))))+1</f>
        <v>37</v>
      </c>
      <c r="M233" s="287" t="s">
        <v>179</v>
      </c>
      <c r="N233" s="288"/>
      <c r="O233" s="5"/>
      <c r="P233" s="30"/>
      <c r="Q233" s="30"/>
      <c r="R233" s="30"/>
      <c r="S233" s="30"/>
      <c r="T233" s="155">
        <f>IF($S$6="Exclude", SUMIFS(S234:S236, J234:J236, "&lt;&gt;Yes", G234:G236, "&lt;&gt;Yes"), SUMIFS(S234:S236, J234:J236, "&lt;&gt;Yes"))</f>
        <v>2.25</v>
      </c>
      <c r="U233" s="30"/>
      <c r="V233" s="30"/>
      <c r="W233" s="30"/>
      <c r="X233" s="31"/>
      <c r="Y233" s="32"/>
      <c r="Z233" s="32"/>
      <c r="AA233" s="32"/>
      <c r="AB233" s="219" t="s">
        <v>167</v>
      </c>
      <c r="AC233" s="33"/>
      <c r="AD233" s="23" t="str">
        <f>IF(M233="", "Error: Task name cannot be empty.", "")</f>
        <v/>
      </c>
    </row>
    <row r="234" spans="1:30" s="12" customFormat="1" ht="1.5" customHeight="1" outlineLevel="2" x14ac:dyDescent="0.35">
      <c r="A234" s="86" t="s">
        <v>57</v>
      </c>
      <c r="B234" s="18"/>
      <c r="C234" s="77"/>
      <c r="D234" s="77"/>
      <c r="E234" s="77"/>
      <c r="F234" s="76"/>
      <c r="G234" s="29"/>
      <c r="H234" s="29"/>
      <c r="I234" s="29"/>
      <c r="J234" s="29"/>
      <c r="K234" s="29"/>
      <c r="L234" s="163">
        <f ca="1">L233</f>
        <v>37</v>
      </c>
      <c r="M234" s="164" t="s">
        <v>58</v>
      </c>
      <c r="N234" s="161"/>
      <c r="O234" s="162"/>
      <c r="P234" s="30"/>
      <c r="Q234" s="30"/>
      <c r="R234" s="30"/>
      <c r="S234" s="30"/>
      <c r="T234" s="155"/>
      <c r="U234" s="30"/>
      <c r="V234" s="30"/>
      <c r="W234" s="30"/>
      <c r="X234" s="31"/>
      <c r="Y234" s="32"/>
      <c r="Z234" s="32"/>
      <c r="AA234" s="32"/>
      <c r="AB234" s="33"/>
      <c r="AC234" s="33"/>
      <c r="AD234" s="23"/>
    </row>
    <row r="235" spans="1:30" ht="43.5" customHeight="1" outlineLevel="2" x14ac:dyDescent="0.35">
      <c r="A235" s="86" t="s">
        <v>52</v>
      </c>
      <c r="B235" s="18"/>
      <c r="C235" s="78"/>
      <c r="D235" s="78"/>
      <c r="E235" s="78"/>
      <c r="F235" s="79"/>
      <c r="G235" s="19" t="s">
        <v>59</v>
      </c>
      <c r="H235" s="19" t="s">
        <v>60</v>
      </c>
      <c r="I235" s="20" t="s">
        <v>59</v>
      </c>
      <c r="J235" s="19" t="s">
        <v>59</v>
      </c>
      <c r="K235" s="35"/>
      <c r="L235" s="19"/>
      <c r="M235" s="263" t="str">
        <f ca="1">IFERROR(OFFSET(M235,-1,,1,1)+0.1,OFFSET(M235,-1,-1,1,1)&amp;".1")</f>
        <v>37.1</v>
      </c>
      <c r="N235" s="20" t="s">
        <v>277</v>
      </c>
      <c r="O235" s="20" t="s">
        <v>278</v>
      </c>
      <c r="P235" s="20"/>
      <c r="Q235" s="134"/>
      <c r="R235" s="127"/>
      <c r="S235" s="157">
        <f>CEILING((IF(J235="Yes", 0, IF(H235="-",AA235,AA235+AA235*VLOOKUP(H235,BUFFERS_BY_TYPE,2,FALSE)))) +
   (IF(J235="Yes", 0, IF(H235="-",AA235,AA235+AA235*VLOOKUP(H235,BUFFERS_BY_TYPE,2,FALSE))))*VLOOKUP($S$5, SALES_CALL_SCALE_ARRAY, 2,FALSE),0.25)</f>
        <v>2.25</v>
      </c>
      <c r="T235" s="158"/>
      <c r="U235" s="21">
        <v>0</v>
      </c>
      <c r="V235" s="21">
        <v>1</v>
      </c>
      <c r="W235" s="21">
        <v>0</v>
      </c>
      <c r="X235" s="156">
        <v>2</v>
      </c>
      <c r="Y235" s="157">
        <f>CEILING((IF(P235=AS_DEV_EFFORT, DEV_EFFORT*Q235%,
                           IF(P235=AS_DURATION_EFFORT, (MANUAL_DURATION*5)*Q235%,
                                    (IF(Q235&lt;=1,X235,
                                          IF(SUM(U235:W235)=0,(Q235*X235),
                                               (((Q235*U235)*(X235+(X235*EXTRA_FOR_H)))+
                                               ((Q235*V235)*X235)+
                                               ((Q235*W235)*(X235-(X235*LESS_FOR_L)))
                                    )*IF(R235=0,1,R235))))))+Z235), 0.25)</f>
        <v>2</v>
      </c>
      <c r="Z235" s="22"/>
      <c r="AA235" s="157">
        <f>Y235+Y235*VLOOKUP(I235,EXTRAS_ARRAY,2,FALSE)</f>
        <v>2</v>
      </c>
      <c r="AB235" s="20" t="s">
        <v>279</v>
      </c>
      <c r="AC235" s="34"/>
      <c r="AD235" s="23" t="str">
        <f>IF(J235&lt;&gt;"Yes",
IF(S235&lt;=0,"Error: Effort value is not defined or is invalid.",
IF(AND(SUM(U235:W235)&gt;0,SUM(U235:W235)&lt;&gt;1),"Error: Complexity % distribution should sum to 100%.",
IF(AND(P235=AS_DEV_EFFORT,X235&lt;&gt;0),"Error: PDs should not be defined when defining as dev effort %.",
IF(AND(P235=AS_DURATION_EFFORT,X235&lt;&gt;0),"Error: PDs should not be defined when defining as duration effort %.","")))))</f>
        <v/>
      </c>
    </row>
    <row r="236" spans="1:30" s="9" customFormat="1" ht="7.5" customHeight="1" outlineLevel="2" x14ac:dyDescent="0.35">
      <c r="A236" s="86" t="s">
        <v>70</v>
      </c>
      <c r="B236" s="15"/>
      <c r="C236" s="72"/>
      <c r="D236" s="72"/>
      <c r="E236" s="72"/>
      <c r="F236" s="72"/>
      <c r="M236" s="252"/>
      <c r="T236" s="15"/>
      <c r="X236" s="15"/>
      <c r="AB236" s="10"/>
      <c r="AC236" s="10"/>
      <c r="AD236" s="10"/>
    </row>
    <row r="237" spans="1:30" s="14" customFormat="1" ht="15.5" customHeight="1" outlineLevel="1" x14ac:dyDescent="0.35">
      <c r="A237" s="86" t="s">
        <v>55</v>
      </c>
      <c r="B237" s="18"/>
      <c r="C237" s="77"/>
      <c r="D237" s="77"/>
      <c r="E237" s="77"/>
      <c r="F237" s="76"/>
      <c r="G237" s="29"/>
      <c r="H237" s="29"/>
      <c r="I237" s="29"/>
      <c r="J237" s="29"/>
      <c r="K237" s="29"/>
      <c r="L237" s="17">
        <f ca="1">LOOKUP(1000,INDIRECT("L1:"&amp;CELL("address",INDIRECT("R[-1]C",FALSE))))+1</f>
        <v>38</v>
      </c>
      <c r="M237" s="287" t="s">
        <v>183</v>
      </c>
      <c r="N237" s="288"/>
      <c r="O237" s="5"/>
      <c r="P237" s="30"/>
      <c r="Q237" s="30"/>
      <c r="R237" s="30"/>
      <c r="S237" s="30"/>
      <c r="T237" s="155">
        <f>IF($S$6="Exclude", SUMIFS(S238:S240, J238:J240, "&lt;&gt;Yes", G238:G240, "&lt;&gt;Yes"), SUMIFS(S238:S240, J238:J240, "&lt;&gt;Yes"))</f>
        <v>2.25</v>
      </c>
      <c r="U237" s="30"/>
      <c r="V237" s="30"/>
      <c r="W237" s="30"/>
      <c r="X237" s="31"/>
      <c r="Y237" s="32"/>
      <c r="Z237" s="32"/>
      <c r="AA237" s="32"/>
      <c r="AB237" s="219" t="s">
        <v>167</v>
      </c>
      <c r="AC237" s="33"/>
      <c r="AD237" s="23" t="str">
        <f>IF(M237="", "Error: Task name cannot be empty.", "")</f>
        <v/>
      </c>
    </row>
    <row r="238" spans="1:30" s="12" customFormat="1" ht="1.5" customHeight="1" outlineLevel="2" x14ac:dyDescent="0.35">
      <c r="A238" s="86" t="s">
        <v>57</v>
      </c>
      <c r="B238" s="18"/>
      <c r="C238" s="77"/>
      <c r="D238" s="77"/>
      <c r="E238" s="77"/>
      <c r="F238" s="76"/>
      <c r="G238" s="29"/>
      <c r="H238" s="29"/>
      <c r="I238" s="29"/>
      <c r="J238" s="29"/>
      <c r="K238" s="29"/>
      <c r="L238" s="163">
        <f ca="1">L237</f>
        <v>38</v>
      </c>
      <c r="M238" s="164" t="s">
        <v>58</v>
      </c>
      <c r="N238" s="161"/>
      <c r="O238" s="162"/>
      <c r="P238" s="30"/>
      <c r="Q238" s="30"/>
      <c r="R238" s="30"/>
      <c r="S238" s="30"/>
      <c r="T238" s="155"/>
      <c r="U238" s="30"/>
      <c r="V238" s="30"/>
      <c r="W238" s="30"/>
      <c r="X238" s="31"/>
      <c r="Y238" s="32"/>
      <c r="Z238" s="32"/>
      <c r="AA238" s="32"/>
      <c r="AB238" s="33"/>
      <c r="AC238" s="33"/>
      <c r="AD238" s="23"/>
    </row>
    <row r="239" spans="1:30" ht="43.5" customHeight="1" outlineLevel="2" x14ac:dyDescent="0.35">
      <c r="A239" s="86" t="s">
        <v>52</v>
      </c>
      <c r="B239" s="18"/>
      <c r="C239" s="78"/>
      <c r="D239" s="78"/>
      <c r="E239" s="78"/>
      <c r="F239" s="79"/>
      <c r="G239" s="19" t="s">
        <v>59</v>
      </c>
      <c r="H239" s="19" t="s">
        <v>60</v>
      </c>
      <c r="I239" s="20" t="s">
        <v>59</v>
      </c>
      <c r="J239" s="19" t="s">
        <v>59</v>
      </c>
      <c r="K239" s="35"/>
      <c r="L239" s="19"/>
      <c r="M239" s="263" t="str">
        <f ca="1">IFERROR(OFFSET(M239,-1,,1,1)+0.1,OFFSET(M239,-1,-1,1,1)&amp;".1")</f>
        <v>38.1</v>
      </c>
      <c r="N239" s="20" t="s">
        <v>280</v>
      </c>
      <c r="O239" s="20" t="s">
        <v>281</v>
      </c>
      <c r="P239" s="20"/>
      <c r="Q239" s="134"/>
      <c r="R239" s="127"/>
      <c r="S239" s="157">
        <f>CEILING((IF(J239="Yes", 0, IF(H239="-",AA239,AA239+AA239*VLOOKUP(H239,BUFFERS_BY_TYPE,2,FALSE)))) +
   (IF(J239="Yes", 0, IF(H239="-",AA239,AA239+AA239*VLOOKUP(H239,BUFFERS_BY_TYPE,2,FALSE))))*VLOOKUP($S$5, SALES_CALL_SCALE_ARRAY, 2,FALSE),0.25)</f>
        <v>2.25</v>
      </c>
      <c r="T239" s="158"/>
      <c r="U239" s="21">
        <v>0</v>
      </c>
      <c r="V239" s="21">
        <v>1</v>
      </c>
      <c r="W239" s="21">
        <v>0</v>
      </c>
      <c r="X239" s="156">
        <v>2</v>
      </c>
      <c r="Y239" s="157">
        <f>CEILING((IF(P239=AS_DEV_EFFORT, DEV_EFFORT*Q239%,
                           IF(P239=AS_DURATION_EFFORT, (MANUAL_DURATION*5)*Q239%,
                                    (IF(Q239&lt;=1,X239,
                                          IF(SUM(U239:W239)=0,(Q239*X239),
                                               (((Q239*U239)*(X239+(X239*EXTRA_FOR_H)))+
                                               ((Q239*V239)*X239)+
                                               ((Q239*W239)*(X239-(X239*LESS_FOR_L)))
                                    )*IF(R239=0,1,R239))))))+Z239), 0.25)</f>
        <v>2</v>
      </c>
      <c r="Z239" s="22"/>
      <c r="AA239" s="157">
        <f>Y239+Y239*VLOOKUP(I239,EXTRAS_ARRAY,2,FALSE)</f>
        <v>2</v>
      </c>
      <c r="AB239" s="20" t="s">
        <v>282</v>
      </c>
      <c r="AC239" s="34"/>
      <c r="AD239" s="23" t="str">
        <f>IF(J239&lt;&gt;"Yes",
IF(S239&lt;=0,"Error: Effort value is not defined or is invalid.",
IF(AND(SUM(U239:W239)&gt;0,SUM(U239:W239)&lt;&gt;1),"Error: Complexity % distribution should sum to 100%.",
IF(AND(P239=AS_DEV_EFFORT,X239&lt;&gt;0),"Error: PDs should not be defined when defining as dev effort %.",
IF(AND(P239=AS_DURATION_EFFORT,X239&lt;&gt;0),"Error: PDs should not be defined when defining as duration effort %.","")))))</f>
        <v/>
      </c>
    </row>
    <row r="240" spans="1:30" s="9" customFormat="1" ht="7.5" customHeight="1" outlineLevel="2" x14ac:dyDescent="0.35">
      <c r="A240" s="86" t="s">
        <v>70</v>
      </c>
      <c r="B240" s="15"/>
      <c r="C240" s="72"/>
      <c r="D240" s="72"/>
      <c r="E240" s="72"/>
      <c r="F240" s="72"/>
      <c r="M240" s="252"/>
      <c r="T240" s="15"/>
      <c r="X240" s="15"/>
      <c r="AB240" s="10"/>
      <c r="AC240" s="10"/>
      <c r="AD240" s="10"/>
    </row>
    <row r="241" spans="1:30" s="14" customFormat="1" ht="15.5" customHeight="1" outlineLevel="1" x14ac:dyDescent="0.35">
      <c r="A241" s="86" t="s">
        <v>161</v>
      </c>
      <c r="B241" s="18"/>
      <c r="C241" s="77"/>
      <c r="D241" s="77"/>
      <c r="E241" s="77"/>
      <c r="F241" s="76"/>
      <c r="G241" s="170"/>
      <c r="H241" s="170"/>
      <c r="I241" s="170"/>
      <c r="J241" s="170"/>
      <c r="K241" s="170"/>
      <c r="L241" s="85" t="s">
        <v>23</v>
      </c>
      <c r="M241" s="296" t="s">
        <v>283</v>
      </c>
      <c r="N241" s="288"/>
      <c r="O241" s="80"/>
      <c r="P241" s="81"/>
      <c r="Q241" s="81"/>
      <c r="R241" s="81"/>
      <c r="S241" s="291">
        <f>SUMGROUP(ROW(), "T")</f>
        <v>25.5</v>
      </c>
      <c r="T241" s="292"/>
      <c r="U241" s="295"/>
      <c r="V241" s="288"/>
      <c r="W241" s="288"/>
      <c r="X241" s="82"/>
      <c r="Y241" s="83"/>
      <c r="Z241" s="83"/>
      <c r="AA241" s="83"/>
      <c r="AB241" s="221"/>
      <c r="AC241" s="84"/>
      <c r="AD241" s="23" t="str">
        <f>IF(M241="", "Error: Module name cannot be empty.", "")</f>
        <v/>
      </c>
    </row>
    <row r="242" spans="1:30" s="14" customFormat="1" ht="15.5" customHeight="1" outlineLevel="1" x14ac:dyDescent="0.35">
      <c r="A242" s="86" t="s">
        <v>55</v>
      </c>
      <c r="B242" s="18"/>
      <c r="C242" s="77"/>
      <c r="D242" s="77"/>
      <c r="E242" s="77"/>
      <c r="F242" s="76"/>
      <c r="G242" s="29"/>
      <c r="H242" s="29"/>
      <c r="I242" s="29"/>
      <c r="J242" s="29"/>
      <c r="K242" s="29"/>
      <c r="L242" s="17">
        <f ca="1">LOOKUP(1000,INDIRECT("L1:"&amp;CELL("address",INDIRECT("R[-1]C",FALSE))))+1</f>
        <v>39</v>
      </c>
      <c r="M242" s="287" t="s">
        <v>163</v>
      </c>
      <c r="N242" s="288"/>
      <c r="O242" s="5"/>
      <c r="P242" s="30"/>
      <c r="Q242" s="30"/>
      <c r="R242" s="30"/>
      <c r="S242" s="30"/>
      <c r="T242" s="155">
        <f>IF($S$6="Exclude", SUMIFS(S243:S245, J243:J245, "&lt;&gt;Yes", G243:G245, "&lt;&gt;Yes"), SUMIFS(S243:S245, J243:J245, "&lt;&gt;Yes"))</f>
        <v>4.5</v>
      </c>
      <c r="U242" s="30"/>
      <c r="V242" s="30"/>
      <c r="W242" s="30"/>
      <c r="X242" s="31"/>
      <c r="Y242" s="32"/>
      <c r="Z242" s="32"/>
      <c r="AA242" s="32"/>
      <c r="AB242" s="219" t="s">
        <v>167</v>
      </c>
      <c r="AC242" s="33"/>
      <c r="AD242" s="23" t="str">
        <f>IF(M242="", "Error: Task name cannot be empty.", "")</f>
        <v/>
      </c>
    </row>
    <row r="243" spans="1:30" s="12" customFormat="1" ht="1.5" customHeight="1" outlineLevel="2" x14ac:dyDescent="0.35">
      <c r="A243" s="86" t="s">
        <v>57</v>
      </c>
      <c r="B243" s="18"/>
      <c r="C243" s="77"/>
      <c r="D243" s="77"/>
      <c r="E243" s="77"/>
      <c r="F243" s="76"/>
      <c r="G243" s="29"/>
      <c r="H243" s="29"/>
      <c r="I243" s="29"/>
      <c r="J243" s="29"/>
      <c r="K243" s="29"/>
      <c r="L243" s="163">
        <f ca="1">L242</f>
        <v>39</v>
      </c>
      <c r="M243" s="164" t="s">
        <v>58</v>
      </c>
      <c r="N243" s="161"/>
      <c r="O243" s="162"/>
      <c r="P243" s="30"/>
      <c r="Q243" s="30"/>
      <c r="R243" s="30"/>
      <c r="S243" s="30"/>
      <c r="T243" s="155"/>
      <c r="U243" s="30"/>
      <c r="V243" s="30"/>
      <c r="W243" s="30"/>
      <c r="X243" s="31"/>
      <c r="Y243" s="32"/>
      <c r="Z243" s="32"/>
      <c r="AA243" s="32"/>
      <c r="AB243" s="33"/>
      <c r="AC243" s="33"/>
      <c r="AD243" s="23"/>
    </row>
    <row r="244" spans="1:30" ht="72.5" customHeight="1" outlineLevel="2" x14ac:dyDescent="0.35">
      <c r="A244" s="86" t="s">
        <v>52</v>
      </c>
      <c r="B244" s="18"/>
      <c r="C244" s="78"/>
      <c r="D244" s="78"/>
      <c r="E244" s="78"/>
      <c r="F244" s="79"/>
      <c r="G244" s="19" t="s">
        <v>59</v>
      </c>
      <c r="H244" s="19" t="s">
        <v>60</v>
      </c>
      <c r="I244" s="20" t="s">
        <v>59</v>
      </c>
      <c r="J244" s="19" t="s">
        <v>59</v>
      </c>
      <c r="K244" s="35"/>
      <c r="L244" s="19"/>
      <c r="M244" s="263" t="str">
        <f ca="1">IFERROR(OFFSET(M244,-1,,1,1)+0.1,OFFSET(M244,-1,-1,1,1)&amp;".1")</f>
        <v>39.1</v>
      </c>
      <c r="N244" s="20" t="s">
        <v>284</v>
      </c>
      <c r="O244" s="20" t="s">
        <v>285</v>
      </c>
      <c r="P244" s="20"/>
      <c r="Q244" s="134"/>
      <c r="R244" s="127"/>
      <c r="S244" s="157">
        <f>CEILING((IF(J244="Yes", 0, IF(H244="-",AA244,AA244+AA244*VLOOKUP(H244,BUFFERS_BY_TYPE,2,FALSE)))) +
   (IF(J244="Yes", 0, IF(H244="-",AA244,AA244+AA244*VLOOKUP(H244,BUFFERS_BY_TYPE,2,FALSE))))*VLOOKUP($S$5, SALES_CALL_SCALE_ARRAY, 2,FALSE),0.25)</f>
        <v>4.5</v>
      </c>
      <c r="T244" s="158"/>
      <c r="U244" s="21">
        <v>0</v>
      </c>
      <c r="V244" s="21">
        <v>1</v>
      </c>
      <c r="W244" s="21">
        <v>0</v>
      </c>
      <c r="X244" s="156">
        <v>4</v>
      </c>
      <c r="Y244" s="157">
        <f>CEILING((IF(P244=AS_DEV_EFFORT, DEV_EFFORT*Q244%,
                           IF(P244=AS_DURATION_EFFORT, (MANUAL_DURATION*5)*Q244%,
                                    (IF(Q244&lt;=1,X244,
                                          IF(SUM(U244:W244)=0,(Q244*X244),
                                               (((Q244*U244)*(X244+(X244*EXTRA_FOR_H)))+
                                               ((Q244*V244)*X244)+
                                               ((Q244*W244)*(X244-(X244*LESS_FOR_L)))
                                    )*IF(R244=0,1,R244))))))+Z244), 0.25)</f>
        <v>4</v>
      </c>
      <c r="Z244" s="22"/>
      <c r="AA244" s="157">
        <f>Y244+Y244*VLOOKUP(I244,EXTRAS_ARRAY,2,FALSE)</f>
        <v>4</v>
      </c>
      <c r="AB244" s="20" t="s">
        <v>286</v>
      </c>
      <c r="AC244" s="34"/>
      <c r="AD244" s="23" t="str">
        <f>IF(J244&lt;&gt;"Yes",
IF(S244&lt;=0,"Error: Effort value is not defined or is invalid.",
IF(AND(SUM(U244:W244)&gt;0,SUM(U244:W244)&lt;&gt;1),"Error: Complexity % distribution should sum to 100%.",
IF(AND(P244=AS_DEV_EFFORT,X244&lt;&gt;0),"Error: PDs should not be defined when defining as dev effort %.",
IF(AND(P244=AS_DURATION_EFFORT,X244&lt;&gt;0),"Error: PDs should not be defined when defining as duration effort %.","")))))</f>
        <v/>
      </c>
    </row>
    <row r="245" spans="1:30" s="9" customFormat="1" ht="7.5" customHeight="1" outlineLevel="2" x14ac:dyDescent="0.35">
      <c r="A245" s="86" t="s">
        <v>70</v>
      </c>
      <c r="B245" s="15"/>
      <c r="C245" s="72"/>
      <c r="D245" s="72"/>
      <c r="E245" s="72"/>
      <c r="F245" s="72"/>
      <c r="M245" s="252"/>
      <c r="T245" s="15"/>
      <c r="X245" s="15"/>
      <c r="AB245" s="10"/>
      <c r="AC245" s="10"/>
      <c r="AD245" s="10"/>
    </row>
    <row r="246" spans="1:30" s="14" customFormat="1" ht="15.5" customHeight="1" outlineLevel="1" x14ac:dyDescent="0.35">
      <c r="A246" s="86" t="s">
        <v>55</v>
      </c>
      <c r="B246" s="18"/>
      <c r="C246" s="77"/>
      <c r="D246" s="77"/>
      <c r="E246" s="77"/>
      <c r="F246" s="76"/>
      <c r="G246" s="29"/>
      <c r="H246" s="29"/>
      <c r="I246" s="29"/>
      <c r="J246" s="29"/>
      <c r="K246" s="29"/>
      <c r="L246" s="17">
        <f ca="1">LOOKUP(1000,INDIRECT("L1:"&amp;CELL("address",INDIRECT("R[-1]C",FALSE))))+1</f>
        <v>40</v>
      </c>
      <c r="M246" s="287" t="s">
        <v>166</v>
      </c>
      <c r="N246" s="288"/>
      <c r="O246" s="5"/>
      <c r="P246" s="30"/>
      <c r="Q246" s="30"/>
      <c r="R246" s="30"/>
      <c r="S246" s="30"/>
      <c r="T246" s="155">
        <f>IF($S$6="Exclude", SUMIFS(S247:S249, J247:J249, "&lt;&gt;Yes", G247:G249, "&lt;&gt;Yes"), SUMIFS(S247:S249, J247:J249, "&lt;&gt;Yes"))</f>
        <v>2.25</v>
      </c>
      <c r="U246" s="30"/>
      <c r="V246" s="30"/>
      <c r="W246" s="30"/>
      <c r="X246" s="31"/>
      <c r="Y246" s="32"/>
      <c r="Z246" s="32"/>
      <c r="AA246" s="32"/>
      <c r="AB246" s="219" t="s">
        <v>167</v>
      </c>
      <c r="AC246" s="33"/>
      <c r="AD246" s="23" t="str">
        <f>IF(M246="", "Error: Task name cannot be empty.", "")</f>
        <v/>
      </c>
    </row>
    <row r="247" spans="1:30" s="12" customFormat="1" ht="1.5" customHeight="1" outlineLevel="2" x14ac:dyDescent="0.35">
      <c r="A247" s="86" t="s">
        <v>57</v>
      </c>
      <c r="B247" s="18"/>
      <c r="C247" s="77"/>
      <c r="D247" s="77"/>
      <c r="E247" s="77"/>
      <c r="F247" s="76"/>
      <c r="G247" s="29"/>
      <c r="H247" s="29"/>
      <c r="I247" s="29"/>
      <c r="J247" s="29"/>
      <c r="K247" s="29"/>
      <c r="L247" s="163">
        <f ca="1">L246</f>
        <v>40</v>
      </c>
      <c r="M247" s="164" t="s">
        <v>58</v>
      </c>
      <c r="N247" s="161"/>
      <c r="O247" s="162"/>
      <c r="P247" s="30"/>
      <c r="Q247" s="30"/>
      <c r="R247" s="30"/>
      <c r="S247" s="30"/>
      <c r="T247" s="155"/>
      <c r="U247" s="30"/>
      <c r="V247" s="30"/>
      <c r="W247" s="30"/>
      <c r="X247" s="31"/>
      <c r="Y247" s="32"/>
      <c r="Z247" s="32"/>
      <c r="AA247" s="32"/>
      <c r="AB247" s="33"/>
      <c r="AC247" s="33"/>
      <c r="AD247" s="23"/>
    </row>
    <row r="248" spans="1:30" ht="43.5" customHeight="1" outlineLevel="2" x14ac:dyDescent="0.35">
      <c r="A248" s="86" t="s">
        <v>52</v>
      </c>
      <c r="B248" s="18"/>
      <c r="C248" s="78"/>
      <c r="D248" s="78"/>
      <c r="E248" s="78"/>
      <c r="F248" s="79"/>
      <c r="G248" s="19" t="s">
        <v>59</v>
      </c>
      <c r="H248" s="19" t="s">
        <v>60</v>
      </c>
      <c r="I248" s="20" t="s">
        <v>59</v>
      </c>
      <c r="J248" s="19" t="s">
        <v>59</v>
      </c>
      <c r="K248" s="35"/>
      <c r="L248" s="19"/>
      <c r="M248" s="263" t="str">
        <f ca="1">IFERROR(OFFSET(M248,-1,,1,1)+0.1,OFFSET(M248,-1,-1,1,1)&amp;".1")</f>
        <v>40.1</v>
      </c>
      <c r="N248" s="20" t="s">
        <v>287</v>
      </c>
      <c r="O248" s="20" t="s">
        <v>288</v>
      </c>
      <c r="P248" s="20"/>
      <c r="Q248" s="134"/>
      <c r="R248" s="127"/>
      <c r="S248" s="157">
        <f>CEILING((IF(J248="Yes", 0, IF(H248="-",AA248,AA248+AA248*VLOOKUP(H248,BUFFERS_BY_TYPE,2,FALSE)))) +
   (IF(J248="Yes", 0, IF(H248="-",AA248,AA248+AA248*VLOOKUP(H248,BUFFERS_BY_TYPE,2,FALSE))))*VLOOKUP($S$5, SALES_CALL_SCALE_ARRAY, 2,FALSE),0.25)</f>
        <v>2.25</v>
      </c>
      <c r="T248" s="158"/>
      <c r="U248" s="21">
        <v>0</v>
      </c>
      <c r="V248" s="21">
        <v>1</v>
      </c>
      <c r="W248" s="21">
        <v>0</v>
      </c>
      <c r="X248" s="156">
        <v>2</v>
      </c>
      <c r="Y248" s="157">
        <f>CEILING((IF(P248=AS_DEV_EFFORT, DEV_EFFORT*Q248%,
                           IF(P248=AS_DURATION_EFFORT, (MANUAL_DURATION*5)*Q248%,
                                    (IF(Q248&lt;=1,X248,
                                          IF(SUM(U248:W248)=0,(Q248*X248),
                                               (((Q248*U248)*(X248+(X248*EXTRA_FOR_H)))+
                                               ((Q248*V248)*X248)+
                                               ((Q248*W248)*(X248-(X248*LESS_FOR_L)))
                                    )*IF(R248=0,1,R248))))))+Z248), 0.25)</f>
        <v>2</v>
      </c>
      <c r="Z248" s="22"/>
      <c r="AA248" s="157">
        <f>Y248+Y248*VLOOKUP(I248,EXTRAS_ARRAY,2,FALSE)</f>
        <v>2</v>
      </c>
      <c r="AB248" s="20" t="s">
        <v>289</v>
      </c>
      <c r="AC248" s="34"/>
      <c r="AD248" s="23" t="str">
        <f>IF(J248&lt;&gt;"Yes",
IF(S248&lt;=0,"Error: Effort value is not defined or is invalid.",
IF(AND(SUM(U248:W248)&gt;0,SUM(U248:W248)&lt;&gt;1),"Error: Complexity % distribution should sum to 100%.",
IF(AND(P248=AS_DEV_EFFORT,X248&lt;&gt;0),"Error: PDs should not be defined when defining as dev effort %.",
IF(AND(P248=AS_DURATION_EFFORT,X248&lt;&gt;0),"Error: PDs should not be defined when defining as duration effort %.","")))))</f>
        <v/>
      </c>
    </row>
    <row r="249" spans="1:30" s="9" customFormat="1" ht="7.5" customHeight="1" outlineLevel="2" x14ac:dyDescent="0.35">
      <c r="A249" s="86" t="s">
        <v>70</v>
      </c>
      <c r="B249" s="15"/>
      <c r="C249" s="72"/>
      <c r="D249" s="72"/>
      <c r="E249" s="72"/>
      <c r="F249" s="72"/>
      <c r="M249" s="252"/>
      <c r="T249" s="15"/>
      <c r="X249" s="15"/>
      <c r="AB249" s="10"/>
      <c r="AC249" s="10"/>
      <c r="AD249" s="10"/>
    </row>
    <row r="250" spans="1:30" s="14" customFormat="1" ht="15.5" customHeight="1" outlineLevel="1" x14ac:dyDescent="0.35">
      <c r="A250" s="86" t="s">
        <v>55</v>
      </c>
      <c r="B250" s="18"/>
      <c r="C250" s="77"/>
      <c r="D250" s="77"/>
      <c r="E250" s="77"/>
      <c r="F250" s="76"/>
      <c r="G250" s="29"/>
      <c r="H250" s="29"/>
      <c r="I250" s="29"/>
      <c r="J250" s="29"/>
      <c r="K250" s="29"/>
      <c r="L250" s="17">
        <f ca="1">LOOKUP(1000,INDIRECT("L1:"&amp;CELL("address",INDIRECT("R[-1]C",FALSE))))+1</f>
        <v>41</v>
      </c>
      <c r="M250" s="287" t="s">
        <v>171</v>
      </c>
      <c r="N250" s="288"/>
      <c r="O250" s="5"/>
      <c r="P250" s="30"/>
      <c r="Q250" s="30"/>
      <c r="R250" s="30"/>
      <c r="S250" s="30"/>
      <c r="T250" s="155">
        <f>IF($S$6="Exclude", SUMIFS(S251:S253, J251:J253, "&lt;&gt;Yes", G251:G253, "&lt;&gt;Yes"), SUMIFS(S251:S253, J251:J253, "&lt;&gt;Yes"))</f>
        <v>10.75</v>
      </c>
      <c r="U250" s="30"/>
      <c r="V250" s="30"/>
      <c r="W250" s="30"/>
      <c r="X250" s="31"/>
      <c r="Y250" s="32"/>
      <c r="Z250" s="32"/>
      <c r="AA250" s="32"/>
      <c r="AB250" s="219" t="s">
        <v>167</v>
      </c>
      <c r="AC250" s="33"/>
      <c r="AD250" s="23" t="str">
        <f>IF(M250="", "Error: Task name cannot be empty.", "")</f>
        <v/>
      </c>
    </row>
    <row r="251" spans="1:30" s="12" customFormat="1" ht="1.5" customHeight="1" outlineLevel="2" x14ac:dyDescent="0.35">
      <c r="A251" s="86" t="s">
        <v>57</v>
      </c>
      <c r="B251" s="18"/>
      <c r="C251" s="77"/>
      <c r="D251" s="77"/>
      <c r="E251" s="77"/>
      <c r="F251" s="76"/>
      <c r="G251" s="29"/>
      <c r="H251" s="29"/>
      <c r="I251" s="29"/>
      <c r="J251" s="29"/>
      <c r="K251" s="29"/>
      <c r="L251" s="163">
        <f ca="1">L250</f>
        <v>41</v>
      </c>
      <c r="M251" s="164" t="s">
        <v>58</v>
      </c>
      <c r="N251" s="161"/>
      <c r="O251" s="162"/>
      <c r="P251" s="30"/>
      <c r="Q251" s="30"/>
      <c r="R251" s="30"/>
      <c r="S251" s="30"/>
      <c r="T251" s="155"/>
      <c r="U251" s="30"/>
      <c r="V251" s="30"/>
      <c r="W251" s="30"/>
      <c r="X251" s="31"/>
      <c r="Y251" s="32"/>
      <c r="Z251" s="32"/>
      <c r="AA251" s="32"/>
      <c r="AB251" s="33"/>
      <c r="AC251" s="33"/>
      <c r="AD251" s="23"/>
    </row>
    <row r="252" spans="1:30" ht="58" customHeight="1" outlineLevel="2" x14ac:dyDescent="0.35">
      <c r="A252" s="86" t="s">
        <v>52</v>
      </c>
      <c r="B252" s="18"/>
      <c r="C252" s="78"/>
      <c r="D252" s="78"/>
      <c r="E252" s="78"/>
      <c r="F252" s="79"/>
      <c r="G252" s="19" t="s">
        <v>59</v>
      </c>
      <c r="H252" s="19" t="s">
        <v>251</v>
      </c>
      <c r="I252" s="20" t="s">
        <v>125</v>
      </c>
      <c r="J252" s="19" t="s">
        <v>59</v>
      </c>
      <c r="K252" s="35"/>
      <c r="L252" s="19"/>
      <c r="M252" s="263" t="str">
        <f ca="1">IFERROR(OFFSET(M252,-1,,1,1)+0.1,OFFSET(M252,-1,-1,1,1)&amp;".1")</f>
        <v>41.1</v>
      </c>
      <c r="N252" s="20" t="s">
        <v>290</v>
      </c>
      <c r="O252" s="20" t="s">
        <v>291</v>
      </c>
      <c r="P252" s="20"/>
      <c r="Q252" s="134"/>
      <c r="R252" s="127"/>
      <c r="S252" s="157">
        <f>CEILING((IF(J252="Yes", 0, IF(H252="-",AA252,AA252+AA252*VLOOKUP(H252,BUFFERS_BY_TYPE,2,FALSE)))) +
   (IF(J252="Yes", 0, IF(H252="-",AA252,AA252+AA252*VLOOKUP(H252,BUFFERS_BY_TYPE,2,FALSE))))*VLOOKUP($S$5, SALES_CALL_SCALE_ARRAY, 2,FALSE),0.25)</f>
        <v>10.75</v>
      </c>
      <c r="T252" s="158"/>
      <c r="U252" s="21">
        <v>0</v>
      </c>
      <c r="V252" s="21">
        <v>1</v>
      </c>
      <c r="W252" s="21">
        <v>0</v>
      </c>
      <c r="X252" s="156">
        <v>8</v>
      </c>
      <c r="Y252" s="157">
        <f>CEILING((IF(P252=AS_DEV_EFFORT, DEV_EFFORT*Q252%,
                           IF(P252=AS_DURATION_EFFORT, (MANUAL_DURATION*5)*Q252%,
                                    (IF(Q252&lt;=1,X252,
                                          IF(SUM(U252:W252)=0,(Q252*X252),
                                               (((Q252*U252)*(X252+(X252*EXTRA_FOR_H)))+
                                               ((Q252*V252)*X252)+
                                               ((Q252*W252)*(X252-(X252*LESS_FOR_L)))
                                    )*IF(R252=0,1,R252))))))+Z252), 0.25)</f>
        <v>8</v>
      </c>
      <c r="Z252" s="22"/>
      <c r="AA252" s="157">
        <f>Y252+Y252*VLOOKUP(I252,EXTRAS_ARRAY,2,FALSE)</f>
        <v>8.8000000000000007</v>
      </c>
      <c r="AB252" s="20" t="s">
        <v>292</v>
      </c>
      <c r="AC252" s="34"/>
      <c r="AD252" s="23" t="str">
        <f>IF(J252&lt;&gt;"Yes",
IF(S252&lt;=0,"Error: Effort value is not defined or is invalid.",
IF(AND(SUM(U252:W252)&gt;0,SUM(U252:W252)&lt;&gt;1),"Error: Complexity % distribution should sum to 100%.",
IF(AND(P252=AS_DEV_EFFORT,X252&lt;&gt;0),"Error: PDs should not be defined when defining as dev effort %.",
IF(AND(P252=AS_DURATION_EFFORT,X252&lt;&gt;0),"Error: PDs should not be defined when defining as duration effort %.","")))))</f>
        <v/>
      </c>
    </row>
    <row r="253" spans="1:30" s="9" customFormat="1" ht="7.5" customHeight="1" outlineLevel="2" x14ac:dyDescent="0.35">
      <c r="A253" s="86" t="s">
        <v>70</v>
      </c>
      <c r="B253" s="15"/>
      <c r="C253" s="72"/>
      <c r="D253" s="72"/>
      <c r="E253" s="72"/>
      <c r="F253" s="72"/>
      <c r="M253" s="252"/>
      <c r="T253" s="15"/>
      <c r="X253" s="15"/>
      <c r="AB253" s="10"/>
      <c r="AC253" s="10"/>
      <c r="AD253" s="10"/>
    </row>
    <row r="254" spans="1:30" s="14" customFormat="1" ht="15.5" customHeight="1" outlineLevel="1" x14ac:dyDescent="0.35">
      <c r="A254" s="86" t="s">
        <v>55</v>
      </c>
      <c r="B254" s="18"/>
      <c r="C254" s="77"/>
      <c r="D254" s="77"/>
      <c r="E254" s="77"/>
      <c r="F254" s="76"/>
      <c r="G254" s="29"/>
      <c r="H254" s="29"/>
      <c r="I254" s="29"/>
      <c r="J254" s="29"/>
      <c r="K254" s="29"/>
      <c r="L254" s="17">
        <f ca="1">LOOKUP(1000,INDIRECT("L1:"&amp;CELL("address",INDIRECT("R[-1]C",FALSE))))+1</f>
        <v>42</v>
      </c>
      <c r="M254" s="287" t="s">
        <v>175</v>
      </c>
      <c r="N254" s="288"/>
      <c r="O254" s="5"/>
      <c r="P254" s="30"/>
      <c r="Q254" s="30"/>
      <c r="R254" s="30"/>
      <c r="S254" s="30"/>
      <c r="T254" s="155">
        <f>IF($S$6="Exclude", SUMIFS(S255:S257, J255:J257, "&lt;&gt;Yes", G255:G257, "&lt;&gt;Yes"), SUMIFS(S255:S257, J255:J257, "&lt;&gt;Yes"))</f>
        <v>3.5</v>
      </c>
      <c r="U254" s="30"/>
      <c r="V254" s="30"/>
      <c r="W254" s="30"/>
      <c r="X254" s="31"/>
      <c r="Y254" s="32"/>
      <c r="Z254" s="32"/>
      <c r="AA254" s="32"/>
      <c r="AB254" s="219" t="s">
        <v>167</v>
      </c>
      <c r="AC254" s="33"/>
      <c r="AD254" s="23" t="str">
        <f>IF(M254="", "Error: Task name cannot be empty.", "")</f>
        <v/>
      </c>
    </row>
    <row r="255" spans="1:30" s="12" customFormat="1" ht="1.5" customHeight="1" outlineLevel="2" x14ac:dyDescent="0.35">
      <c r="A255" s="86" t="s">
        <v>57</v>
      </c>
      <c r="B255" s="18"/>
      <c r="C255" s="77"/>
      <c r="D255" s="77"/>
      <c r="E255" s="77"/>
      <c r="F255" s="76"/>
      <c r="G255" s="29"/>
      <c r="H255" s="29"/>
      <c r="I255" s="29"/>
      <c r="J255" s="29"/>
      <c r="K255" s="29"/>
      <c r="L255" s="163">
        <f ca="1">L254</f>
        <v>42</v>
      </c>
      <c r="M255" s="164" t="s">
        <v>58</v>
      </c>
      <c r="N255" s="161"/>
      <c r="O255" s="162"/>
      <c r="P255" s="30"/>
      <c r="Q255" s="30"/>
      <c r="R255" s="30"/>
      <c r="S255" s="30"/>
      <c r="T255" s="155"/>
      <c r="U255" s="30"/>
      <c r="V255" s="30"/>
      <c r="W255" s="30"/>
      <c r="X255" s="31"/>
      <c r="Y255" s="32"/>
      <c r="Z255" s="32"/>
      <c r="AA255" s="32"/>
      <c r="AB255" s="33"/>
      <c r="AC255" s="33"/>
      <c r="AD255" s="23"/>
    </row>
    <row r="256" spans="1:30" ht="29" customHeight="1" outlineLevel="2" x14ac:dyDescent="0.35">
      <c r="A256" s="86" t="s">
        <v>52</v>
      </c>
      <c r="B256" s="18"/>
      <c r="C256" s="78"/>
      <c r="D256" s="78"/>
      <c r="E256" s="78"/>
      <c r="F256" s="79"/>
      <c r="G256" s="19" t="s">
        <v>59</v>
      </c>
      <c r="H256" s="19" t="s">
        <v>66</v>
      </c>
      <c r="I256" s="20" t="s">
        <v>59</v>
      </c>
      <c r="J256" s="19" t="s">
        <v>59</v>
      </c>
      <c r="K256" s="35"/>
      <c r="L256" s="19"/>
      <c r="M256" s="263" t="str">
        <f ca="1">IFERROR(OFFSET(M256,-1,,1,1)+0.1,OFFSET(M256,-1,-1,1,1)&amp;".1")</f>
        <v>42.1</v>
      </c>
      <c r="N256" s="20" t="s">
        <v>293</v>
      </c>
      <c r="O256" s="20" t="s">
        <v>294</v>
      </c>
      <c r="P256" s="20"/>
      <c r="Q256" s="134"/>
      <c r="R256" s="127"/>
      <c r="S256" s="157">
        <f>CEILING((IF(J256="Yes", 0, IF(H256="-",AA256,AA256+AA256*VLOOKUP(H256,BUFFERS_BY_TYPE,2,FALSE)))) +
   (IF(J256="Yes", 0, IF(H256="-",AA256,AA256+AA256*VLOOKUP(H256,BUFFERS_BY_TYPE,2,FALSE))))*VLOOKUP($S$5, SALES_CALL_SCALE_ARRAY, 2,FALSE),0.25)</f>
        <v>3.5</v>
      </c>
      <c r="T256" s="158"/>
      <c r="U256" s="21">
        <v>0</v>
      </c>
      <c r="V256" s="21">
        <v>1</v>
      </c>
      <c r="W256" s="21">
        <v>0</v>
      </c>
      <c r="X256" s="156">
        <v>3</v>
      </c>
      <c r="Y256" s="157">
        <f>CEILING((IF(P256=AS_DEV_EFFORT, DEV_EFFORT*Q256%,
                           IF(P256=AS_DURATION_EFFORT, (MANUAL_DURATION*5)*Q256%,
                                    (IF(Q256&lt;=1,X256,
                                          IF(SUM(U256:W256)=0,(Q256*X256),
                                               (((Q256*U256)*(X256+(X256*EXTRA_FOR_H)))+
                                               ((Q256*V256)*X256)+
                                               ((Q256*W256)*(X256-(X256*LESS_FOR_L)))
                                    )*IF(R256=0,1,R256))))))+Z256), 0.25)</f>
        <v>3</v>
      </c>
      <c r="Z256" s="22"/>
      <c r="AA256" s="157">
        <f>Y256+Y256*VLOOKUP(I256,EXTRAS_ARRAY,2,FALSE)</f>
        <v>3</v>
      </c>
      <c r="AB256" s="20" t="s">
        <v>295</v>
      </c>
      <c r="AC256" s="34"/>
      <c r="AD256" s="23" t="str">
        <f>IF(J256&lt;&gt;"Yes",
IF(S256&lt;=0,"Error: Effort value is not defined or is invalid.",
IF(AND(SUM(U256:W256)&gt;0,SUM(U256:W256)&lt;&gt;1),"Error: Complexity % distribution should sum to 100%.",
IF(AND(P256=AS_DEV_EFFORT,X256&lt;&gt;0),"Error: PDs should not be defined when defining as dev effort %.",
IF(AND(P256=AS_DURATION_EFFORT,X256&lt;&gt;0),"Error: PDs should not be defined when defining as duration effort %.","")))))</f>
        <v/>
      </c>
    </row>
    <row r="257" spans="1:30" s="9" customFormat="1" ht="7.5" customHeight="1" outlineLevel="2" x14ac:dyDescent="0.35">
      <c r="A257" s="86" t="s">
        <v>70</v>
      </c>
      <c r="B257" s="15"/>
      <c r="C257" s="72"/>
      <c r="D257" s="72"/>
      <c r="E257" s="72"/>
      <c r="F257" s="72"/>
      <c r="M257" s="252"/>
      <c r="T257" s="15"/>
      <c r="X257" s="15"/>
      <c r="AB257" s="10"/>
      <c r="AC257" s="10"/>
      <c r="AD257" s="10"/>
    </row>
    <row r="258" spans="1:30" s="14" customFormat="1" ht="15.5" customHeight="1" outlineLevel="1" x14ac:dyDescent="0.35">
      <c r="A258" s="86" t="s">
        <v>55</v>
      </c>
      <c r="B258" s="18"/>
      <c r="C258" s="77"/>
      <c r="D258" s="77"/>
      <c r="E258" s="77"/>
      <c r="F258" s="76"/>
      <c r="G258" s="29"/>
      <c r="H258" s="29"/>
      <c r="I258" s="29"/>
      <c r="J258" s="29"/>
      <c r="K258" s="29"/>
      <c r="L258" s="17">
        <f ca="1">LOOKUP(1000,INDIRECT("L1:"&amp;CELL("address",INDIRECT("R[-1]C",FALSE))))+1</f>
        <v>43</v>
      </c>
      <c r="M258" s="287" t="s">
        <v>179</v>
      </c>
      <c r="N258" s="288"/>
      <c r="O258" s="5"/>
      <c r="P258" s="30"/>
      <c r="Q258" s="30"/>
      <c r="R258" s="30"/>
      <c r="S258" s="30"/>
      <c r="T258" s="155">
        <f>IF($S$6="Exclude", SUMIFS(S259:S261, J259:J261, "&lt;&gt;Yes", G259:G261, "&lt;&gt;Yes"), SUMIFS(S259:S261, J259:J261, "&lt;&gt;Yes"))</f>
        <v>2.25</v>
      </c>
      <c r="U258" s="30"/>
      <c r="V258" s="30"/>
      <c r="W258" s="30"/>
      <c r="X258" s="31"/>
      <c r="Y258" s="32"/>
      <c r="Z258" s="32"/>
      <c r="AA258" s="32"/>
      <c r="AB258" s="219" t="s">
        <v>167</v>
      </c>
      <c r="AC258" s="33"/>
      <c r="AD258" s="23" t="str">
        <f>IF(M258="", "Error: Task name cannot be empty.", "")</f>
        <v/>
      </c>
    </row>
    <row r="259" spans="1:30" s="12" customFormat="1" ht="1.5" customHeight="1" outlineLevel="2" x14ac:dyDescent="0.35">
      <c r="A259" s="86" t="s">
        <v>57</v>
      </c>
      <c r="B259" s="18"/>
      <c r="C259" s="77"/>
      <c r="D259" s="77"/>
      <c r="E259" s="77"/>
      <c r="F259" s="76"/>
      <c r="G259" s="29"/>
      <c r="H259" s="29"/>
      <c r="I259" s="29"/>
      <c r="J259" s="29"/>
      <c r="K259" s="29"/>
      <c r="L259" s="163">
        <f ca="1">L258</f>
        <v>43</v>
      </c>
      <c r="M259" s="164" t="s">
        <v>58</v>
      </c>
      <c r="N259" s="161"/>
      <c r="O259" s="162"/>
      <c r="P259" s="30"/>
      <c r="Q259" s="30"/>
      <c r="R259" s="30"/>
      <c r="S259" s="30"/>
      <c r="T259" s="155"/>
      <c r="U259" s="30"/>
      <c r="V259" s="30"/>
      <c r="W259" s="30"/>
      <c r="X259" s="31"/>
      <c r="Y259" s="32"/>
      <c r="Z259" s="32"/>
      <c r="AA259" s="32"/>
      <c r="AB259" s="33"/>
      <c r="AC259" s="33"/>
      <c r="AD259" s="23"/>
    </row>
    <row r="260" spans="1:30" ht="43.5" customHeight="1" outlineLevel="2" x14ac:dyDescent="0.35">
      <c r="A260" s="86" t="s">
        <v>52</v>
      </c>
      <c r="B260" s="18"/>
      <c r="C260" s="78"/>
      <c r="D260" s="78"/>
      <c r="E260" s="78"/>
      <c r="F260" s="79"/>
      <c r="G260" s="19" t="s">
        <v>59</v>
      </c>
      <c r="H260" s="19" t="s">
        <v>60</v>
      </c>
      <c r="I260" s="20" t="s">
        <v>59</v>
      </c>
      <c r="J260" s="19" t="s">
        <v>59</v>
      </c>
      <c r="K260" s="35"/>
      <c r="L260" s="19"/>
      <c r="M260" s="263" t="str">
        <f ca="1">IFERROR(OFFSET(M260,-1,,1,1)+0.1,OFFSET(M260,-1,-1,1,1)&amp;".1")</f>
        <v>43.1</v>
      </c>
      <c r="N260" s="20" t="s">
        <v>296</v>
      </c>
      <c r="O260" s="20" t="s">
        <v>297</v>
      </c>
      <c r="P260" s="20"/>
      <c r="Q260" s="134"/>
      <c r="R260" s="127"/>
      <c r="S260" s="157">
        <f>CEILING((IF(J260="Yes", 0, IF(H260="-",AA260,AA260+AA260*VLOOKUP(H260,BUFFERS_BY_TYPE,2,FALSE)))) +
   (IF(J260="Yes", 0, IF(H260="-",AA260,AA260+AA260*VLOOKUP(H260,BUFFERS_BY_TYPE,2,FALSE))))*VLOOKUP($S$5, SALES_CALL_SCALE_ARRAY, 2,FALSE),0.25)</f>
        <v>2.25</v>
      </c>
      <c r="T260" s="158"/>
      <c r="U260" s="21">
        <v>0</v>
      </c>
      <c r="V260" s="21">
        <v>1</v>
      </c>
      <c r="W260" s="21">
        <v>0</v>
      </c>
      <c r="X260" s="156">
        <v>2</v>
      </c>
      <c r="Y260" s="157">
        <f>CEILING((IF(P260=AS_DEV_EFFORT, DEV_EFFORT*Q260%,
                           IF(P260=AS_DURATION_EFFORT, (MANUAL_DURATION*5)*Q260%,
                                    (IF(Q260&lt;=1,X260,
                                          IF(SUM(U260:W260)=0,(Q260*X260),
                                               (((Q260*U260)*(X260+(X260*EXTRA_FOR_H)))+
                                               ((Q260*V260)*X260)+
                                               ((Q260*W260)*(X260-(X260*LESS_FOR_L)))
                                    )*IF(R260=0,1,R260))))))+Z260), 0.25)</f>
        <v>2</v>
      </c>
      <c r="Z260" s="22"/>
      <c r="AA260" s="157">
        <f>Y260+Y260*VLOOKUP(I260,EXTRAS_ARRAY,2,FALSE)</f>
        <v>2</v>
      </c>
      <c r="AB260" s="20" t="s">
        <v>298</v>
      </c>
      <c r="AC260" s="34"/>
      <c r="AD260" s="23" t="str">
        <f>IF(J260&lt;&gt;"Yes",
IF(S260&lt;=0,"Error: Effort value is not defined or is invalid.",
IF(AND(SUM(U260:W260)&gt;0,SUM(U260:W260)&lt;&gt;1),"Error: Complexity % distribution should sum to 100%.",
IF(AND(P260=AS_DEV_EFFORT,X260&lt;&gt;0),"Error: PDs should not be defined when defining as dev effort %.",
IF(AND(P260=AS_DURATION_EFFORT,X260&lt;&gt;0),"Error: PDs should not be defined when defining as duration effort %.","")))))</f>
        <v/>
      </c>
    </row>
    <row r="261" spans="1:30" s="9" customFormat="1" ht="7.5" customHeight="1" outlineLevel="2" x14ac:dyDescent="0.35">
      <c r="A261" s="86" t="s">
        <v>70</v>
      </c>
      <c r="B261" s="15"/>
      <c r="C261" s="72"/>
      <c r="D261" s="72"/>
      <c r="E261" s="72"/>
      <c r="F261" s="72"/>
      <c r="M261" s="252"/>
      <c r="T261" s="15"/>
      <c r="X261" s="15"/>
      <c r="AB261" s="10"/>
      <c r="AC261" s="10"/>
      <c r="AD261" s="10"/>
    </row>
    <row r="262" spans="1:30" s="14" customFormat="1" ht="15.5" customHeight="1" outlineLevel="1" x14ac:dyDescent="0.35">
      <c r="A262" s="86" t="s">
        <v>55</v>
      </c>
      <c r="B262" s="18"/>
      <c r="C262" s="77"/>
      <c r="D262" s="77"/>
      <c r="E262" s="77"/>
      <c r="F262" s="76"/>
      <c r="G262" s="29"/>
      <c r="H262" s="29"/>
      <c r="I262" s="29"/>
      <c r="J262" s="29"/>
      <c r="K262" s="29"/>
      <c r="L262" s="17">
        <f ca="1">LOOKUP(1000,INDIRECT("L1:"&amp;CELL("address",INDIRECT("R[-1]C",FALSE))))+1</f>
        <v>44</v>
      </c>
      <c r="M262" s="287" t="s">
        <v>183</v>
      </c>
      <c r="N262" s="288"/>
      <c r="O262" s="5"/>
      <c r="P262" s="30"/>
      <c r="Q262" s="30"/>
      <c r="R262" s="30"/>
      <c r="S262" s="30"/>
      <c r="T262" s="155">
        <f>IF($S$6="Exclude", SUMIFS(S263:S265, J263:J265, "&lt;&gt;Yes", G263:G265, "&lt;&gt;Yes"), SUMIFS(S263:S265, J263:J265, "&lt;&gt;Yes"))</f>
        <v>2.25</v>
      </c>
      <c r="U262" s="30"/>
      <c r="V262" s="30"/>
      <c r="W262" s="30"/>
      <c r="X262" s="31"/>
      <c r="Y262" s="32"/>
      <c r="Z262" s="32"/>
      <c r="AA262" s="32"/>
      <c r="AB262" s="219" t="s">
        <v>167</v>
      </c>
      <c r="AC262" s="33"/>
      <c r="AD262" s="23" t="str">
        <f>IF(M262="", "Error: Task name cannot be empty.", "")</f>
        <v/>
      </c>
    </row>
    <row r="263" spans="1:30" s="12" customFormat="1" ht="1.5" customHeight="1" outlineLevel="2" x14ac:dyDescent="0.35">
      <c r="A263" s="86" t="s">
        <v>57</v>
      </c>
      <c r="B263" s="18"/>
      <c r="C263" s="77"/>
      <c r="D263" s="77"/>
      <c r="E263" s="77"/>
      <c r="F263" s="76"/>
      <c r="G263" s="29"/>
      <c r="H263" s="29"/>
      <c r="I263" s="29"/>
      <c r="J263" s="29"/>
      <c r="K263" s="29"/>
      <c r="L263" s="163">
        <f ca="1">L262</f>
        <v>44</v>
      </c>
      <c r="M263" s="164" t="s">
        <v>58</v>
      </c>
      <c r="N263" s="161"/>
      <c r="O263" s="162"/>
      <c r="P263" s="30"/>
      <c r="Q263" s="30"/>
      <c r="R263" s="30"/>
      <c r="S263" s="30"/>
      <c r="T263" s="155"/>
      <c r="U263" s="30"/>
      <c r="V263" s="30"/>
      <c r="W263" s="30"/>
      <c r="X263" s="31"/>
      <c r="Y263" s="32"/>
      <c r="Z263" s="32"/>
      <c r="AA263" s="32"/>
      <c r="AB263" s="33"/>
      <c r="AC263" s="33"/>
      <c r="AD263" s="23"/>
    </row>
    <row r="264" spans="1:30" ht="43.5" customHeight="1" outlineLevel="2" x14ac:dyDescent="0.35">
      <c r="A264" s="86" t="s">
        <v>52</v>
      </c>
      <c r="B264" s="18"/>
      <c r="C264" s="78"/>
      <c r="D264" s="78"/>
      <c r="E264" s="78"/>
      <c r="F264" s="79"/>
      <c r="G264" s="19" t="s">
        <v>59</v>
      </c>
      <c r="H264" s="19" t="s">
        <v>60</v>
      </c>
      <c r="I264" s="20" t="s">
        <v>59</v>
      </c>
      <c r="J264" s="19" t="s">
        <v>59</v>
      </c>
      <c r="K264" s="35"/>
      <c r="L264" s="19"/>
      <c r="M264" s="263" t="str">
        <f ca="1">IFERROR(OFFSET(M264,-1,,1,1)+0.1,OFFSET(M264,-1,-1,1,1)&amp;".1")</f>
        <v>44.1</v>
      </c>
      <c r="N264" s="20" t="s">
        <v>299</v>
      </c>
      <c r="O264" s="20" t="s">
        <v>300</v>
      </c>
      <c r="P264" s="20"/>
      <c r="Q264" s="134"/>
      <c r="R264" s="127"/>
      <c r="S264" s="157">
        <f>CEILING((IF(J264="Yes", 0, IF(H264="-",AA264,AA264+AA264*VLOOKUP(H264,BUFFERS_BY_TYPE,2,FALSE)))) +
   (IF(J264="Yes", 0, IF(H264="-",AA264,AA264+AA264*VLOOKUP(H264,BUFFERS_BY_TYPE,2,FALSE))))*VLOOKUP($S$5, SALES_CALL_SCALE_ARRAY, 2,FALSE),0.25)</f>
        <v>2.25</v>
      </c>
      <c r="T264" s="158"/>
      <c r="U264" s="21">
        <v>0</v>
      </c>
      <c r="V264" s="21">
        <v>1</v>
      </c>
      <c r="W264" s="21">
        <v>0</v>
      </c>
      <c r="X264" s="156">
        <v>2</v>
      </c>
      <c r="Y264" s="157">
        <f>CEILING((IF(P264=AS_DEV_EFFORT, DEV_EFFORT*Q264%,
                           IF(P264=AS_DURATION_EFFORT, (MANUAL_DURATION*5)*Q264%,
                                    (IF(Q264&lt;=1,X264,
                                          IF(SUM(U264:W264)=0,(Q264*X264),
                                               (((Q264*U264)*(X264+(X264*EXTRA_FOR_H)))+
                                               ((Q264*V264)*X264)+
                                               ((Q264*W264)*(X264-(X264*LESS_FOR_L)))
                                    )*IF(R264=0,1,R264))))))+Z264), 0.25)</f>
        <v>2</v>
      </c>
      <c r="Z264" s="22"/>
      <c r="AA264" s="157">
        <f>Y264+Y264*VLOOKUP(I264,EXTRAS_ARRAY,2,FALSE)</f>
        <v>2</v>
      </c>
      <c r="AB264" s="20" t="s">
        <v>301</v>
      </c>
      <c r="AC264" s="34"/>
      <c r="AD264" s="23" t="str">
        <f>IF(J264&lt;&gt;"Yes",
IF(S264&lt;=0,"Error: Effort value is not defined or is invalid.",
IF(AND(SUM(U264:W264)&gt;0,SUM(U264:W264)&lt;&gt;1),"Error: Complexity % distribution should sum to 100%.",
IF(AND(P264=AS_DEV_EFFORT,X264&lt;&gt;0),"Error: PDs should not be defined when defining as dev effort %.",
IF(AND(P264=AS_DURATION_EFFORT,X264&lt;&gt;0),"Error: PDs should not be defined when defining as duration effort %.","")))))</f>
        <v/>
      </c>
    </row>
    <row r="265" spans="1:30" s="9" customFormat="1" ht="7.5" customHeight="1" outlineLevel="2" x14ac:dyDescent="0.35">
      <c r="A265" s="86" t="s">
        <v>70</v>
      </c>
      <c r="B265" s="15"/>
      <c r="C265" s="72"/>
      <c r="D265" s="72"/>
      <c r="E265" s="72"/>
      <c r="F265" s="72"/>
      <c r="M265" s="252"/>
      <c r="T265" s="15"/>
      <c r="X265" s="15"/>
      <c r="AB265" s="10"/>
      <c r="AC265" s="10"/>
      <c r="AD265" s="10"/>
    </row>
    <row r="266" spans="1:30" s="14" customFormat="1" ht="15.5" customHeight="1" outlineLevel="1" x14ac:dyDescent="0.35">
      <c r="A266" s="86" t="s">
        <v>161</v>
      </c>
      <c r="B266" s="18"/>
      <c r="C266" s="77"/>
      <c r="D266" s="77"/>
      <c r="E266" s="77"/>
      <c r="F266" s="76"/>
      <c r="G266" s="170"/>
      <c r="H266" s="170"/>
      <c r="I266" s="170"/>
      <c r="J266" s="170"/>
      <c r="K266" s="170"/>
      <c r="L266" s="85" t="s">
        <v>23</v>
      </c>
      <c r="M266" s="296" t="s">
        <v>302</v>
      </c>
      <c r="N266" s="288"/>
      <c r="O266" s="80"/>
      <c r="P266" s="81"/>
      <c r="Q266" s="81"/>
      <c r="R266" s="81"/>
      <c r="S266" s="291">
        <f>SUMGROUP(ROW(), "T")</f>
        <v>27.75</v>
      </c>
      <c r="T266" s="292"/>
      <c r="U266" s="295"/>
      <c r="V266" s="288"/>
      <c r="W266" s="288"/>
      <c r="X266" s="82"/>
      <c r="Y266" s="83"/>
      <c r="Z266" s="83"/>
      <c r="AA266" s="83"/>
      <c r="AB266" s="221"/>
      <c r="AC266" s="84"/>
      <c r="AD266" s="23" t="str">
        <f>IF(M266="", "Error: Module name cannot be empty.", "")</f>
        <v/>
      </c>
    </row>
    <row r="267" spans="1:30" s="14" customFormat="1" ht="15.5" customHeight="1" outlineLevel="1" x14ac:dyDescent="0.35">
      <c r="A267" s="86" t="s">
        <v>55</v>
      </c>
      <c r="B267" s="18"/>
      <c r="C267" s="77"/>
      <c r="D267" s="77"/>
      <c r="E267" s="77"/>
      <c r="F267" s="76"/>
      <c r="G267" s="29"/>
      <c r="H267" s="29"/>
      <c r="I267" s="29"/>
      <c r="J267" s="29"/>
      <c r="K267" s="29"/>
      <c r="L267" s="17">
        <f ca="1">LOOKUP(1000,INDIRECT("L1:"&amp;CELL("address",INDIRECT("R[-1]C",FALSE))))+1</f>
        <v>45</v>
      </c>
      <c r="M267" s="287" t="s">
        <v>166</v>
      </c>
      <c r="N267" s="288"/>
      <c r="O267" s="5"/>
      <c r="P267" s="30"/>
      <c r="Q267" s="30"/>
      <c r="R267" s="30"/>
      <c r="S267" s="30"/>
      <c r="T267" s="155">
        <f>IF($S$6="Exclude", SUMIFS(S268:S270, J268:J270, "&lt;&gt;Yes", G268:G270, "&lt;&gt;Yes"), SUMIFS(S268:S270, J268:J270, "&lt;&gt;Yes"))</f>
        <v>3.5</v>
      </c>
      <c r="U267" s="30"/>
      <c r="V267" s="30"/>
      <c r="W267" s="30"/>
      <c r="X267" s="31"/>
      <c r="Y267" s="32"/>
      <c r="Z267" s="32"/>
      <c r="AA267" s="32"/>
      <c r="AB267" s="219" t="s">
        <v>167</v>
      </c>
      <c r="AC267" s="33"/>
      <c r="AD267" s="23" t="str">
        <f>IF(M267="", "Error: Task name cannot be empty.", "")</f>
        <v/>
      </c>
    </row>
    <row r="268" spans="1:30" s="12" customFormat="1" ht="1.5" customHeight="1" outlineLevel="2" x14ac:dyDescent="0.35">
      <c r="A268" s="86" t="s">
        <v>57</v>
      </c>
      <c r="B268" s="18"/>
      <c r="C268" s="77"/>
      <c r="D268" s="77"/>
      <c r="E268" s="77"/>
      <c r="F268" s="76"/>
      <c r="G268" s="29"/>
      <c r="H268" s="29"/>
      <c r="I268" s="29"/>
      <c r="J268" s="29"/>
      <c r="K268" s="29"/>
      <c r="L268" s="163">
        <f ca="1">L267</f>
        <v>45</v>
      </c>
      <c r="M268" s="164" t="s">
        <v>58</v>
      </c>
      <c r="N268" s="161"/>
      <c r="O268" s="162"/>
      <c r="P268" s="30"/>
      <c r="Q268" s="30"/>
      <c r="R268" s="30"/>
      <c r="S268" s="30"/>
      <c r="T268" s="155"/>
      <c r="U268" s="30"/>
      <c r="V268" s="30"/>
      <c r="W268" s="30"/>
      <c r="X268" s="31"/>
      <c r="Y268" s="32"/>
      <c r="Z268" s="32"/>
      <c r="AA268" s="32"/>
      <c r="AB268" s="33"/>
      <c r="AC268" s="33"/>
      <c r="AD268" s="23"/>
    </row>
    <row r="269" spans="1:30" ht="43.5" customHeight="1" outlineLevel="2" x14ac:dyDescent="0.35">
      <c r="A269" s="86" t="s">
        <v>52</v>
      </c>
      <c r="B269" s="18"/>
      <c r="C269" s="78"/>
      <c r="D269" s="78"/>
      <c r="E269" s="78"/>
      <c r="F269" s="79"/>
      <c r="G269" s="19" t="s">
        <v>59</v>
      </c>
      <c r="H269" s="19" t="s">
        <v>60</v>
      </c>
      <c r="I269" s="20" t="s">
        <v>59</v>
      </c>
      <c r="J269" s="19" t="s">
        <v>59</v>
      </c>
      <c r="K269" s="35"/>
      <c r="L269" s="19"/>
      <c r="M269" s="263" t="str">
        <f ca="1">IFERROR(OFFSET(M269,-1,,1,1)+0.1,OFFSET(M269,-1,-1,1,1)&amp;".1")</f>
        <v>45.1</v>
      </c>
      <c r="N269" s="20" t="s">
        <v>303</v>
      </c>
      <c r="O269" s="20" t="s">
        <v>304</v>
      </c>
      <c r="P269" s="20"/>
      <c r="Q269" s="134"/>
      <c r="R269" s="127"/>
      <c r="S269" s="157">
        <f>CEILING((IF(J269="Yes", 0, IF(H269="-",AA269,AA269+AA269*VLOOKUP(H269,BUFFERS_BY_TYPE,2,FALSE)))) +
   (IF(J269="Yes", 0, IF(H269="-",AA269,AA269+AA269*VLOOKUP(H269,BUFFERS_BY_TYPE,2,FALSE))))*VLOOKUP($S$5, SALES_CALL_SCALE_ARRAY, 2,FALSE),0.25)</f>
        <v>3.5</v>
      </c>
      <c r="T269" s="158"/>
      <c r="U269" s="21">
        <v>0</v>
      </c>
      <c r="V269" s="21">
        <v>1</v>
      </c>
      <c r="W269" s="21">
        <v>0</v>
      </c>
      <c r="X269" s="156">
        <v>3</v>
      </c>
      <c r="Y269" s="157">
        <f>CEILING((IF(P269=AS_DEV_EFFORT, DEV_EFFORT*Q269%,
                           IF(P269=AS_DURATION_EFFORT, (MANUAL_DURATION*5)*Q269%,
                                    (IF(Q269&lt;=1,X269,
                                          IF(SUM(U269:W269)=0,(Q269*X269),
                                               (((Q269*U269)*(X269+(X269*EXTRA_FOR_H)))+
                                               ((Q269*V269)*X269)+
                                               ((Q269*W269)*(X269-(X269*LESS_FOR_L)))
                                    )*IF(R269=0,1,R269))))))+Z269), 0.25)</f>
        <v>3</v>
      </c>
      <c r="Z269" s="22"/>
      <c r="AA269" s="157">
        <f>Y269+Y269*VLOOKUP(I269,EXTRAS_ARRAY,2,FALSE)</f>
        <v>3</v>
      </c>
      <c r="AB269" s="20" t="s">
        <v>305</v>
      </c>
      <c r="AC269" s="34"/>
      <c r="AD269" s="23" t="str">
        <f>IF(J269&lt;&gt;"Yes",
IF(S269&lt;=0,"Error: Effort value is not defined or is invalid.",
IF(AND(SUM(U269:W269)&gt;0,SUM(U269:W269)&lt;&gt;1),"Error: Complexity % distribution should sum to 100%.",
IF(AND(P269=AS_DEV_EFFORT,X269&lt;&gt;0),"Error: PDs should not be defined when defining as dev effort %.",
IF(AND(P269=AS_DURATION_EFFORT,X269&lt;&gt;0),"Error: PDs should not be defined when defining as duration effort %.","")))))</f>
        <v/>
      </c>
    </row>
    <row r="270" spans="1:30" s="9" customFormat="1" ht="7.5" customHeight="1" outlineLevel="2" x14ac:dyDescent="0.35">
      <c r="A270" s="86" t="s">
        <v>70</v>
      </c>
      <c r="B270" s="15"/>
      <c r="C270" s="72"/>
      <c r="D270" s="72"/>
      <c r="E270" s="72"/>
      <c r="F270" s="72"/>
      <c r="M270" s="252"/>
      <c r="T270" s="15"/>
      <c r="X270" s="15"/>
      <c r="AB270" s="10"/>
      <c r="AC270" s="10"/>
      <c r="AD270" s="10"/>
    </row>
    <row r="271" spans="1:30" s="14" customFormat="1" ht="15.5" customHeight="1" outlineLevel="1" x14ac:dyDescent="0.35">
      <c r="A271" s="86" t="s">
        <v>55</v>
      </c>
      <c r="B271" s="18"/>
      <c r="C271" s="77"/>
      <c r="D271" s="77"/>
      <c r="E271" s="77"/>
      <c r="F271" s="76"/>
      <c r="G271" s="29"/>
      <c r="H271" s="29"/>
      <c r="I271" s="29"/>
      <c r="J271" s="29"/>
      <c r="K271" s="29"/>
      <c r="L271" s="17">
        <f ca="1">LOOKUP(1000,INDIRECT("L1:"&amp;CELL("address",INDIRECT("R[-1]C",FALSE))))+1</f>
        <v>46</v>
      </c>
      <c r="M271" s="287" t="s">
        <v>171</v>
      </c>
      <c r="N271" s="288"/>
      <c r="O271" s="5"/>
      <c r="P271" s="30"/>
      <c r="Q271" s="30"/>
      <c r="R271" s="30"/>
      <c r="S271" s="30"/>
      <c r="T271" s="155">
        <f>IF($S$6="Exclude", SUMIFS(S272:S274, J272:J274, "&lt;&gt;Yes", G272:G274, "&lt;&gt;Yes"), SUMIFS(S272:S274, J272:J274, "&lt;&gt;Yes"))</f>
        <v>14</v>
      </c>
      <c r="U271" s="30"/>
      <c r="V271" s="30"/>
      <c r="W271" s="30"/>
      <c r="X271" s="31"/>
      <c r="Y271" s="32"/>
      <c r="Z271" s="32"/>
      <c r="AA271" s="32"/>
      <c r="AB271" s="219" t="s">
        <v>167</v>
      </c>
      <c r="AC271" s="33"/>
      <c r="AD271" s="23" t="str">
        <f>IF(M271="", "Error: Task name cannot be empty.", "")</f>
        <v/>
      </c>
    </row>
    <row r="272" spans="1:30" s="12" customFormat="1" ht="1.5" customHeight="1" outlineLevel="2" x14ac:dyDescent="0.35">
      <c r="A272" s="86" t="s">
        <v>57</v>
      </c>
      <c r="B272" s="18"/>
      <c r="C272" s="77"/>
      <c r="D272" s="77"/>
      <c r="E272" s="77"/>
      <c r="F272" s="76"/>
      <c r="G272" s="29"/>
      <c r="H272" s="29"/>
      <c r="I272" s="29"/>
      <c r="J272" s="29"/>
      <c r="K272" s="29"/>
      <c r="L272" s="163">
        <f ca="1">L271</f>
        <v>46</v>
      </c>
      <c r="M272" s="164" t="s">
        <v>58</v>
      </c>
      <c r="N272" s="161"/>
      <c r="O272" s="162"/>
      <c r="P272" s="30"/>
      <c r="Q272" s="30"/>
      <c r="R272" s="30"/>
      <c r="S272" s="30"/>
      <c r="T272" s="155"/>
      <c r="U272" s="30"/>
      <c r="V272" s="30"/>
      <c r="W272" s="30"/>
      <c r="X272" s="31"/>
      <c r="Y272" s="32"/>
      <c r="Z272" s="32"/>
      <c r="AA272" s="32"/>
      <c r="AB272" s="33"/>
      <c r="AC272" s="33"/>
      <c r="AD272" s="23"/>
    </row>
    <row r="273" spans="1:30" ht="58" customHeight="1" outlineLevel="2" x14ac:dyDescent="0.35">
      <c r="A273" s="86" t="s">
        <v>52</v>
      </c>
      <c r="B273" s="18"/>
      <c r="C273" s="78"/>
      <c r="D273" s="78"/>
      <c r="E273" s="78"/>
      <c r="F273" s="79"/>
      <c r="G273" s="19" t="s">
        <v>59</v>
      </c>
      <c r="H273" s="19" t="s">
        <v>66</v>
      </c>
      <c r="I273" s="20" t="s">
        <v>59</v>
      </c>
      <c r="J273" s="19" t="s">
        <v>59</v>
      </c>
      <c r="K273" s="35"/>
      <c r="L273" s="19"/>
      <c r="M273" s="263" t="str">
        <f ca="1">IFERROR(OFFSET(M273,-1,,1,1)+0.1,OFFSET(M273,-1,-1,1,1)&amp;".1")</f>
        <v>46.1</v>
      </c>
      <c r="N273" s="20" t="s">
        <v>306</v>
      </c>
      <c r="O273" s="20" t="s">
        <v>307</v>
      </c>
      <c r="P273" s="20"/>
      <c r="Q273" s="134"/>
      <c r="R273" s="127"/>
      <c r="S273" s="157">
        <f>CEILING((IF(J273="Yes", 0, IF(H273="-",AA273,AA273+AA273*VLOOKUP(H273,BUFFERS_BY_TYPE,2,FALSE)))) +
   (IF(J273="Yes", 0, IF(H273="-",AA273,AA273+AA273*VLOOKUP(H273,BUFFERS_BY_TYPE,2,FALSE))))*VLOOKUP($S$5, SALES_CALL_SCALE_ARRAY, 2,FALSE),0.25)</f>
        <v>14</v>
      </c>
      <c r="T273" s="158"/>
      <c r="U273" s="21">
        <v>0</v>
      </c>
      <c r="V273" s="21">
        <v>1</v>
      </c>
      <c r="W273" s="21">
        <v>0</v>
      </c>
      <c r="X273" s="156">
        <v>12</v>
      </c>
      <c r="Y273" s="157">
        <f>CEILING((IF(P273=AS_DEV_EFFORT, DEV_EFFORT*Q273%,
                           IF(P273=AS_DURATION_EFFORT, (MANUAL_DURATION*5)*Q273%,
                                    (IF(Q273&lt;=1,X273,
                                          IF(SUM(U273:W273)=0,(Q273*X273),
                                               (((Q273*U273)*(X273+(X273*EXTRA_FOR_H)))+
                                               ((Q273*V273)*X273)+
                                               ((Q273*W273)*(X273-(X273*LESS_FOR_L)))
                                    )*IF(R273=0,1,R273))))))+Z273), 0.25)</f>
        <v>12</v>
      </c>
      <c r="Z273" s="22"/>
      <c r="AA273" s="157">
        <f>Y273+Y273*VLOOKUP(I273,EXTRAS_ARRAY,2,FALSE)</f>
        <v>12</v>
      </c>
      <c r="AB273" s="20" t="s">
        <v>308</v>
      </c>
      <c r="AC273" s="34"/>
      <c r="AD273" s="23" t="str">
        <f>IF(J273&lt;&gt;"Yes",
IF(S273&lt;=0,"Error: Effort value is not defined or is invalid.",
IF(AND(SUM(U273:W273)&gt;0,SUM(U273:W273)&lt;&gt;1),"Error: Complexity % distribution should sum to 100%.",
IF(AND(P273=AS_DEV_EFFORT,X273&lt;&gt;0),"Error: PDs should not be defined when defining as dev effort %.",
IF(AND(P273=AS_DURATION_EFFORT,X273&lt;&gt;0),"Error: PDs should not be defined when defining as duration effort %.","")))))</f>
        <v/>
      </c>
    </row>
    <row r="274" spans="1:30" s="9" customFormat="1" ht="7.5" customHeight="1" outlineLevel="2" x14ac:dyDescent="0.35">
      <c r="A274" s="86" t="s">
        <v>70</v>
      </c>
      <c r="B274" s="15"/>
      <c r="C274" s="72"/>
      <c r="D274" s="72"/>
      <c r="E274" s="72"/>
      <c r="F274" s="72"/>
      <c r="M274" s="252"/>
      <c r="T274" s="15"/>
      <c r="X274" s="15"/>
      <c r="AB274" s="10"/>
      <c r="AC274" s="10"/>
      <c r="AD274" s="10"/>
    </row>
    <row r="275" spans="1:30" s="14" customFormat="1" ht="15.5" customHeight="1" outlineLevel="1" x14ac:dyDescent="0.35">
      <c r="A275" s="86" t="s">
        <v>55</v>
      </c>
      <c r="B275" s="18"/>
      <c r="C275" s="77"/>
      <c r="D275" s="77"/>
      <c r="E275" s="77"/>
      <c r="F275" s="76"/>
      <c r="G275" s="29"/>
      <c r="H275" s="29"/>
      <c r="I275" s="29"/>
      <c r="J275" s="29"/>
      <c r="K275" s="29"/>
      <c r="L275" s="17">
        <f ca="1">LOOKUP(1000,INDIRECT("L1:"&amp;CELL("address",INDIRECT("R[-1]C",FALSE))))+1</f>
        <v>47</v>
      </c>
      <c r="M275" s="287" t="s">
        <v>175</v>
      </c>
      <c r="N275" s="288"/>
      <c r="O275" s="5"/>
      <c r="P275" s="30"/>
      <c r="Q275" s="30"/>
      <c r="R275" s="30"/>
      <c r="S275" s="30"/>
      <c r="T275" s="155">
        <f>IF($S$6="Exclude", SUMIFS(S276:S278, J276:J278, "&lt;&gt;Yes", G276:G278, "&lt;&gt;Yes"), SUMIFS(S276:S278, J276:J278, "&lt;&gt;Yes"))</f>
        <v>4.5</v>
      </c>
      <c r="U275" s="30"/>
      <c r="V275" s="30"/>
      <c r="W275" s="30"/>
      <c r="X275" s="31"/>
      <c r="Y275" s="32"/>
      <c r="Z275" s="32"/>
      <c r="AA275" s="32"/>
      <c r="AB275" s="219" t="s">
        <v>167</v>
      </c>
      <c r="AC275" s="33"/>
      <c r="AD275" s="23" t="str">
        <f>IF(M275="", "Error: Task name cannot be empty.", "")</f>
        <v/>
      </c>
    </row>
    <row r="276" spans="1:30" s="12" customFormat="1" ht="1.5" customHeight="1" outlineLevel="2" x14ac:dyDescent="0.35">
      <c r="A276" s="86" t="s">
        <v>57</v>
      </c>
      <c r="B276" s="18"/>
      <c r="C276" s="77"/>
      <c r="D276" s="77"/>
      <c r="E276" s="77"/>
      <c r="F276" s="76"/>
      <c r="G276" s="29"/>
      <c r="H276" s="29"/>
      <c r="I276" s="29"/>
      <c r="J276" s="29"/>
      <c r="K276" s="29"/>
      <c r="L276" s="163">
        <f ca="1">L275</f>
        <v>47</v>
      </c>
      <c r="M276" s="164" t="s">
        <v>58</v>
      </c>
      <c r="N276" s="161"/>
      <c r="O276" s="162"/>
      <c r="P276" s="30"/>
      <c r="Q276" s="30"/>
      <c r="R276" s="30"/>
      <c r="S276" s="30"/>
      <c r="T276" s="155"/>
      <c r="U276" s="30"/>
      <c r="V276" s="30"/>
      <c r="W276" s="30"/>
      <c r="X276" s="31"/>
      <c r="Y276" s="32"/>
      <c r="Z276" s="32"/>
      <c r="AA276" s="32"/>
      <c r="AB276" s="33"/>
      <c r="AC276" s="33"/>
      <c r="AD276" s="23"/>
    </row>
    <row r="277" spans="1:30" ht="43.5" customHeight="1" outlineLevel="2" x14ac:dyDescent="0.35">
      <c r="A277" s="86" t="s">
        <v>52</v>
      </c>
      <c r="B277" s="18"/>
      <c r="C277" s="78"/>
      <c r="D277" s="78"/>
      <c r="E277" s="78"/>
      <c r="F277" s="79"/>
      <c r="G277" s="19" t="s">
        <v>59</v>
      </c>
      <c r="H277" s="19" t="s">
        <v>60</v>
      </c>
      <c r="I277" s="20" t="s">
        <v>59</v>
      </c>
      <c r="J277" s="19" t="s">
        <v>59</v>
      </c>
      <c r="K277" s="35"/>
      <c r="L277" s="19"/>
      <c r="M277" s="263" t="str">
        <f ca="1">IFERROR(OFFSET(M277,-1,,1,1)+0.1,OFFSET(M277,-1,-1,1,1)&amp;".1")</f>
        <v>47.1</v>
      </c>
      <c r="N277" s="20" t="s">
        <v>309</v>
      </c>
      <c r="O277" s="20" t="s">
        <v>310</v>
      </c>
      <c r="P277" s="20"/>
      <c r="Q277" s="134"/>
      <c r="R277" s="127"/>
      <c r="S277" s="157">
        <f>CEILING((IF(J277="Yes", 0, IF(H277="-",AA277,AA277+AA277*VLOOKUP(H277,BUFFERS_BY_TYPE,2,FALSE)))) +
   (IF(J277="Yes", 0, IF(H277="-",AA277,AA277+AA277*VLOOKUP(H277,BUFFERS_BY_TYPE,2,FALSE))))*VLOOKUP($S$5, SALES_CALL_SCALE_ARRAY, 2,FALSE),0.25)</f>
        <v>4.5</v>
      </c>
      <c r="T277" s="158"/>
      <c r="U277" s="21">
        <v>0</v>
      </c>
      <c r="V277" s="21">
        <v>1</v>
      </c>
      <c r="W277" s="21">
        <v>0</v>
      </c>
      <c r="X277" s="156">
        <v>4</v>
      </c>
      <c r="Y277" s="157">
        <f>CEILING((IF(P277=AS_DEV_EFFORT, DEV_EFFORT*Q277%,
                           IF(P277=AS_DURATION_EFFORT, (MANUAL_DURATION*5)*Q277%,
                                    (IF(Q277&lt;=1,X277,
                                          IF(SUM(U277:W277)=0,(Q277*X277),
                                               (((Q277*U277)*(X277+(X277*EXTRA_FOR_H)))+
                                               ((Q277*V277)*X277)+
                                               ((Q277*W277)*(X277-(X277*LESS_FOR_L)))
                                    )*IF(R277=0,1,R277))))))+Z277), 0.25)</f>
        <v>4</v>
      </c>
      <c r="Z277" s="22"/>
      <c r="AA277" s="157">
        <f>Y277+Y277*VLOOKUP(I277,EXTRAS_ARRAY,2,FALSE)</f>
        <v>4</v>
      </c>
      <c r="AB277" s="20" t="s">
        <v>311</v>
      </c>
      <c r="AC277" s="34"/>
      <c r="AD277" s="23" t="str">
        <f>IF(J277&lt;&gt;"Yes",
IF(S277&lt;=0,"Error: Effort value is not defined or is invalid.",
IF(AND(SUM(U277:W277)&gt;0,SUM(U277:W277)&lt;&gt;1),"Error: Complexity % distribution should sum to 100%.",
IF(AND(P277=AS_DEV_EFFORT,X277&lt;&gt;0),"Error: PDs should not be defined when defining as dev effort %.",
IF(AND(P277=AS_DURATION_EFFORT,X277&lt;&gt;0),"Error: PDs should not be defined when defining as duration effort %.","")))))</f>
        <v/>
      </c>
    </row>
    <row r="278" spans="1:30" s="9" customFormat="1" ht="7.5" customHeight="1" outlineLevel="2" x14ac:dyDescent="0.35">
      <c r="A278" s="86" t="s">
        <v>70</v>
      </c>
      <c r="B278" s="15"/>
      <c r="C278" s="72"/>
      <c r="D278" s="72"/>
      <c r="E278" s="72"/>
      <c r="F278" s="72"/>
      <c r="M278" s="252"/>
      <c r="T278" s="15"/>
      <c r="X278" s="15"/>
      <c r="AB278" s="10"/>
      <c r="AC278" s="10"/>
      <c r="AD278" s="10"/>
    </row>
    <row r="279" spans="1:30" s="14" customFormat="1" ht="15.5" customHeight="1" outlineLevel="1" x14ac:dyDescent="0.35">
      <c r="A279" s="86" t="s">
        <v>55</v>
      </c>
      <c r="B279" s="18"/>
      <c r="C279" s="77"/>
      <c r="D279" s="77"/>
      <c r="E279" s="77"/>
      <c r="F279" s="76"/>
      <c r="G279" s="29"/>
      <c r="H279" s="29"/>
      <c r="I279" s="29"/>
      <c r="J279" s="29"/>
      <c r="K279" s="29"/>
      <c r="L279" s="17">
        <f ca="1">LOOKUP(1000,INDIRECT("L1:"&amp;CELL("address",INDIRECT("R[-1]C",FALSE))))+1</f>
        <v>48</v>
      </c>
      <c r="M279" s="287" t="s">
        <v>179</v>
      </c>
      <c r="N279" s="288"/>
      <c r="O279" s="5"/>
      <c r="P279" s="30"/>
      <c r="Q279" s="30"/>
      <c r="R279" s="30"/>
      <c r="S279" s="30"/>
      <c r="T279" s="155">
        <f>IF($S$6="Exclude", SUMIFS(S280:S282, J280:J282, "&lt;&gt;Yes", G280:G282, "&lt;&gt;Yes"), SUMIFS(S280:S282, J280:J282, "&lt;&gt;Yes"))</f>
        <v>3.5</v>
      </c>
      <c r="U279" s="30"/>
      <c r="V279" s="30"/>
      <c r="W279" s="30"/>
      <c r="X279" s="31"/>
      <c r="Y279" s="32"/>
      <c r="Z279" s="32"/>
      <c r="AA279" s="32"/>
      <c r="AB279" s="219" t="s">
        <v>167</v>
      </c>
      <c r="AC279" s="33"/>
      <c r="AD279" s="23" t="str">
        <f>IF(M279="", "Error: Task name cannot be empty.", "")</f>
        <v/>
      </c>
    </row>
    <row r="280" spans="1:30" s="12" customFormat="1" ht="1.5" customHeight="1" outlineLevel="2" x14ac:dyDescent="0.35">
      <c r="A280" s="86" t="s">
        <v>57</v>
      </c>
      <c r="B280" s="18"/>
      <c r="C280" s="77"/>
      <c r="D280" s="77"/>
      <c r="E280" s="77"/>
      <c r="F280" s="76"/>
      <c r="G280" s="29"/>
      <c r="H280" s="29"/>
      <c r="I280" s="29"/>
      <c r="J280" s="29"/>
      <c r="K280" s="29"/>
      <c r="L280" s="163">
        <f ca="1">L279</f>
        <v>48</v>
      </c>
      <c r="M280" s="164" t="s">
        <v>58</v>
      </c>
      <c r="N280" s="161"/>
      <c r="O280" s="162"/>
      <c r="P280" s="30"/>
      <c r="Q280" s="30"/>
      <c r="R280" s="30"/>
      <c r="S280" s="30"/>
      <c r="T280" s="155"/>
      <c r="U280" s="30"/>
      <c r="V280" s="30"/>
      <c r="W280" s="30"/>
      <c r="X280" s="31"/>
      <c r="Y280" s="32"/>
      <c r="Z280" s="32"/>
      <c r="AA280" s="32"/>
      <c r="AB280" s="33"/>
      <c r="AC280" s="33"/>
      <c r="AD280" s="23"/>
    </row>
    <row r="281" spans="1:30" ht="43.5" customHeight="1" outlineLevel="2" x14ac:dyDescent="0.35">
      <c r="A281" s="86" t="s">
        <v>52</v>
      </c>
      <c r="B281" s="18"/>
      <c r="C281" s="78"/>
      <c r="D281" s="78"/>
      <c r="E281" s="78"/>
      <c r="F281" s="79"/>
      <c r="G281" s="19" t="s">
        <v>59</v>
      </c>
      <c r="H281" s="19" t="s">
        <v>60</v>
      </c>
      <c r="I281" s="20" t="s">
        <v>59</v>
      </c>
      <c r="J281" s="19" t="s">
        <v>59</v>
      </c>
      <c r="K281" s="35"/>
      <c r="L281" s="19"/>
      <c r="M281" s="263" t="str">
        <f ca="1">IFERROR(OFFSET(M281,-1,,1,1)+0.1,OFFSET(M281,-1,-1,1,1)&amp;".1")</f>
        <v>48.1</v>
      </c>
      <c r="N281" s="20" t="s">
        <v>312</v>
      </c>
      <c r="O281" s="20" t="s">
        <v>313</v>
      </c>
      <c r="P281" s="20"/>
      <c r="Q281" s="134"/>
      <c r="R281" s="127"/>
      <c r="S281" s="157">
        <f>CEILING((IF(J281="Yes", 0, IF(H281="-",AA281,AA281+AA281*VLOOKUP(H281,BUFFERS_BY_TYPE,2,FALSE)))) +
   (IF(J281="Yes", 0, IF(H281="-",AA281,AA281+AA281*VLOOKUP(H281,BUFFERS_BY_TYPE,2,FALSE))))*VLOOKUP($S$5, SALES_CALL_SCALE_ARRAY, 2,FALSE),0.25)</f>
        <v>3.5</v>
      </c>
      <c r="T281" s="158"/>
      <c r="U281" s="21">
        <v>0</v>
      </c>
      <c r="V281" s="21">
        <v>1</v>
      </c>
      <c r="W281" s="21">
        <v>0</v>
      </c>
      <c r="X281" s="156">
        <v>3</v>
      </c>
      <c r="Y281" s="157">
        <f>CEILING((IF(P281=AS_DEV_EFFORT, DEV_EFFORT*Q281%,
                           IF(P281=AS_DURATION_EFFORT, (MANUAL_DURATION*5)*Q281%,
                                    (IF(Q281&lt;=1,X281,
                                          IF(SUM(U281:W281)=0,(Q281*X281),
                                               (((Q281*U281)*(X281+(X281*EXTRA_FOR_H)))+
                                               ((Q281*V281)*X281)+
                                               ((Q281*W281)*(X281-(X281*LESS_FOR_L)))
                                    )*IF(R281=0,1,R281))))))+Z281), 0.25)</f>
        <v>3</v>
      </c>
      <c r="Z281" s="22"/>
      <c r="AA281" s="157">
        <f>Y281+Y281*VLOOKUP(I281,EXTRAS_ARRAY,2,FALSE)</f>
        <v>3</v>
      </c>
      <c r="AB281" s="20" t="s">
        <v>314</v>
      </c>
      <c r="AC281" s="34"/>
      <c r="AD281" s="23" t="str">
        <f>IF(J281&lt;&gt;"Yes",
IF(S281&lt;=0,"Error: Effort value is not defined or is invalid.",
IF(AND(SUM(U281:W281)&gt;0,SUM(U281:W281)&lt;&gt;1),"Error: Complexity % distribution should sum to 100%.",
IF(AND(P281=AS_DEV_EFFORT,X281&lt;&gt;0),"Error: PDs should not be defined when defining as dev effort %.",
IF(AND(P281=AS_DURATION_EFFORT,X281&lt;&gt;0),"Error: PDs should not be defined when defining as duration effort %.","")))))</f>
        <v/>
      </c>
    </row>
    <row r="282" spans="1:30" s="9" customFormat="1" ht="7.5" customHeight="1" outlineLevel="2" x14ac:dyDescent="0.35">
      <c r="A282" s="86" t="s">
        <v>70</v>
      </c>
      <c r="B282" s="15"/>
      <c r="C282" s="72"/>
      <c r="D282" s="72"/>
      <c r="E282" s="72"/>
      <c r="F282" s="72"/>
      <c r="M282" s="252"/>
      <c r="T282" s="15"/>
      <c r="X282" s="15"/>
      <c r="AB282" s="10"/>
      <c r="AC282" s="10"/>
      <c r="AD282" s="10"/>
    </row>
    <row r="283" spans="1:30" s="14" customFormat="1" ht="15.5" customHeight="1" outlineLevel="1" x14ac:dyDescent="0.35">
      <c r="A283" s="86" t="s">
        <v>55</v>
      </c>
      <c r="B283" s="18"/>
      <c r="C283" s="77"/>
      <c r="D283" s="77"/>
      <c r="E283" s="77"/>
      <c r="F283" s="76"/>
      <c r="G283" s="29"/>
      <c r="H283" s="29"/>
      <c r="I283" s="29"/>
      <c r="J283" s="29"/>
      <c r="K283" s="29"/>
      <c r="L283" s="17">
        <f ca="1">LOOKUP(1000,INDIRECT("L1:"&amp;CELL("address",INDIRECT("R[-1]C",FALSE))))+1</f>
        <v>49</v>
      </c>
      <c r="M283" s="287" t="s">
        <v>183</v>
      </c>
      <c r="N283" s="288"/>
      <c r="O283" s="5"/>
      <c r="P283" s="30"/>
      <c r="Q283" s="30"/>
      <c r="R283" s="30"/>
      <c r="S283" s="30"/>
      <c r="T283" s="155">
        <f>IF($S$6="Exclude", SUMIFS(S284:S286, J284:J286, "&lt;&gt;Yes", G284:G286, "&lt;&gt;Yes"), SUMIFS(S284:S286, J284:J286, "&lt;&gt;Yes"))</f>
        <v>2.25</v>
      </c>
      <c r="U283" s="30"/>
      <c r="V283" s="30"/>
      <c r="W283" s="30"/>
      <c r="X283" s="31"/>
      <c r="Y283" s="32"/>
      <c r="Z283" s="32"/>
      <c r="AA283" s="32"/>
      <c r="AB283" s="219" t="s">
        <v>167</v>
      </c>
      <c r="AC283" s="33"/>
      <c r="AD283" s="23" t="str">
        <f>IF(M283="", "Error: Task name cannot be empty.", "")</f>
        <v/>
      </c>
    </row>
    <row r="284" spans="1:30" s="12" customFormat="1" ht="1.5" customHeight="1" outlineLevel="2" x14ac:dyDescent="0.35">
      <c r="A284" s="86" t="s">
        <v>57</v>
      </c>
      <c r="B284" s="18"/>
      <c r="C284" s="77"/>
      <c r="D284" s="77"/>
      <c r="E284" s="77"/>
      <c r="F284" s="76"/>
      <c r="G284" s="29"/>
      <c r="H284" s="29"/>
      <c r="I284" s="29"/>
      <c r="J284" s="29"/>
      <c r="K284" s="29"/>
      <c r="L284" s="163">
        <f ca="1">L283</f>
        <v>49</v>
      </c>
      <c r="M284" s="164" t="s">
        <v>58</v>
      </c>
      <c r="N284" s="161"/>
      <c r="O284" s="162"/>
      <c r="P284" s="30"/>
      <c r="Q284" s="30"/>
      <c r="R284" s="30"/>
      <c r="S284" s="30"/>
      <c r="T284" s="155"/>
      <c r="U284" s="30"/>
      <c r="V284" s="30"/>
      <c r="W284" s="30"/>
      <c r="X284" s="31"/>
      <c r="Y284" s="32"/>
      <c r="Z284" s="32"/>
      <c r="AA284" s="32"/>
      <c r="AB284" s="33"/>
      <c r="AC284" s="33"/>
      <c r="AD284" s="23"/>
    </row>
    <row r="285" spans="1:30" ht="43.5" customHeight="1" outlineLevel="2" x14ac:dyDescent="0.35">
      <c r="A285" s="86" t="s">
        <v>52</v>
      </c>
      <c r="B285" s="18"/>
      <c r="C285" s="78"/>
      <c r="D285" s="78"/>
      <c r="E285" s="78"/>
      <c r="F285" s="79"/>
      <c r="G285" s="19" t="s">
        <v>59</v>
      </c>
      <c r="H285" s="19" t="s">
        <v>60</v>
      </c>
      <c r="I285" s="20" t="s">
        <v>59</v>
      </c>
      <c r="J285" s="19" t="s">
        <v>59</v>
      </c>
      <c r="K285" s="35"/>
      <c r="L285" s="19"/>
      <c r="M285" s="263" t="str">
        <f ca="1">IFERROR(OFFSET(M285,-1,,1,1)+0.1,OFFSET(M285,-1,-1,1,1)&amp;".1")</f>
        <v>49.1</v>
      </c>
      <c r="N285" s="20" t="s">
        <v>315</v>
      </c>
      <c r="O285" s="20" t="s">
        <v>316</v>
      </c>
      <c r="P285" s="20"/>
      <c r="Q285" s="134"/>
      <c r="R285" s="127"/>
      <c r="S285" s="157">
        <f>CEILING((IF(J285="Yes", 0, IF(H285="-",AA285,AA285+AA285*VLOOKUP(H285,BUFFERS_BY_TYPE,2,FALSE)))) +
   (IF(J285="Yes", 0, IF(H285="-",AA285,AA285+AA285*VLOOKUP(H285,BUFFERS_BY_TYPE,2,FALSE))))*VLOOKUP($S$5, SALES_CALL_SCALE_ARRAY, 2,FALSE),0.25)</f>
        <v>2.25</v>
      </c>
      <c r="T285" s="158"/>
      <c r="U285" s="21">
        <v>0</v>
      </c>
      <c r="V285" s="21">
        <v>1</v>
      </c>
      <c r="W285" s="21">
        <v>0</v>
      </c>
      <c r="X285" s="156">
        <v>2</v>
      </c>
      <c r="Y285" s="157">
        <f>CEILING((IF(P285=AS_DEV_EFFORT, DEV_EFFORT*Q285%,
                           IF(P285=AS_DURATION_EFFORT, (MANUAL_DURATION*5)*Q285%,
                                    (IF(Q285&lt;=1,X285,
                                          IF(SUM(U285:W285)=0,(Q285*X285),
                                               (((Q285*U285)*(X285+(X285*EXTRA_FOR_H)))+
                                               ((Q285*V285)*X285)+
                                               ((Q285*W285)*(X285-(X285*LESS_FOR_L)))
                                    )*IF(R285=0,1,R285))))))+Z285), 0.25)</f>
        <v>2</v>
      </c>
      <c r="Z285" s="22"/>
      <c r="AA285" s="157">
        <f>Y285+Y285*VLOOKUP(I285,EXTRAS_ARRAY,2,FALSE)</f>
        <v>2</v>
      </c>
      <c r="AB285" s="20" t="s">
        <v>317</v>
      </c>
      <c r="AC285" s="34"/>
      <c r="AD285" s="23" t="str">
        <f>IF(J285&lt;&gt;"Yes",
IF(S285&lt;=0,"Error: Effort value is not defined or is invalid.",
IF(AND(SUM(U285:W285)&gt;0,SUM(U285:W285)&lt;&gt;1),"Error: Complexity % distribution should sum to 100%.",
IF(AND(P285=AS_DEV_EFFORT,X285&lt;&gt;0),"Error: PDs should not be defined when defining as dev effort %.",
IF(AND(P285=AS_DURATION_EFFORT,X285&lt;&gt;0),"Error: PDs should not be defined when defining as duration effort %.","")))))</f>
        <v/>
      </c>
    </row>
    <row r="286" spans="1:30" s="9" customFormat="1" ht="7.5" customHeight="1" outlineLevel="2" x14ac:dyDescent="0.35">
      <c r="A286" s="86" t="s">
        <v>70</v>
      </c>
      <c r="B286" s="15"/>
      <c r="C286" s="72"/>
      <c r="D286" s="72"/>
      <c r="E286" s="72"/>
      <c r="F286" s="72"/>
      <c r="M286" s="252"/>
      <c r="T286" s="15"/>
      <c r="X286" s="15"/>
      <c r="AB286" s="10"/>
      <c r="AC286" s="10"/>
      <c r="AD286" s="10"/>
    </row>
    <row r="287" spans="1:30" s="14" customFormat="1" ht="15.5" customHeight="1" outlineLevel="1" x14ac:dyDescent="0.35">
      <c r="A287" s="86" t="s">
        <v>161</v>
      </c>
      <c r="B287" s="18"/>
      <c r="C287" s="77"/>
      <c r="D287" s="77"/>
      <c r="E287" s="77"/>
      <c r="F287" s="76"/>
      <c r="G287" s="170"/>
      <c r="H287" s="170"/>
      <c r="I287" s="170"/>
      <c r="J287" s="170"/>
      <c r="K287" s="170"/>
      <c r="L287" s="85" t="s">
        <v>23</v>
      </c>
      <c r="M287" s="296" t="s">
        <v>318</v>
      </c>
      <c r="N287" s="288"/>
      <c r="O287" s="80"/>
      <c r="P287" s="81"/>
      <c r="Q287" s="81"/>
      <c r="R287" s="81"/>
      <c r="S287" s="291">
        <f>SUMGROUP(ROW(), "T")</f>
        <v>13.75</v>
      </c>
      <c r="T287" s="292"/>
      <c r="U287" s="295"/>
      <c r="V287" s="288"/>
      <c r="W287" s="288"/>
      <c r="X287" s="82"/>
      <c r="Y287" s="83"/>
      <c r="Z287" s="83"/>
      <c r="AA287" s="83"/>
      <c r="AB287" s="221"/>
      <c r="AC287" s="84"/>
      <c r="AD287" s="23" t="str">
        <f>IF(M287="", "Error: Module name cannot be empty.", "")</f>
        <v/>
      </c>
    </row>
    <row r="288" spans="1:30" s="14" customFormat="1" ht="15.5" customHeight="1" outlineLevel="1" x14ac:dyDescent="0.35">
      <c r="A288" s="86" t="s">
        <v>55</v>
      </c>
      <c r="B288" s="18"/>
      <c r="C288" s="77"/>
      <c r="D288" s="77"/>
      <c r="E288" s="77"/>
      <c r="F288" s="76"/>
      <c r="G288" s="29"/>
      <c r="H288" s="29"/>
      <c r="I288" s="29"/>
      <c r="J288" s="29"/>
      <c r="K288" s="29"/>
      <c r="L288" s="17">
        <f ca="1">LOOKUP(1000,INDIRECT("L1:"&amp;CELL("address",INDIRECT("R[-1]C",FALSE))))+1</f>
        <v>50</v>
      </c>
      <c r="M288" s="287" t="s">
        <v>319</v>
      </c>
      <c r="N288" s="288"/>
      <c r="O288" s="5"/>
      <c r="P288" s="30"/>
      <c r="Q288" s="30"/>
      <c r="R288" s="30"/>
      <c r="S288" s="30"/>
      <c r="T288" s="155">
        <f>IF($S$6="Exclude", SUMIFS(S289:S291, J289:J291, "&lt;&gt;Yes", G289:G291, "&lt;&gt;Yes"), SUMIFS(S289:S291, J289:J291, "&lt;&gt;Yes"))</f>
        <v>10.25</v>
      </c>
      <c r="U288" s="30"/>
      <c r="V288" s="30"/>
      <c r="W288" s="30"/>
      <c r="X288" s="31"/>
      <c r="Y288" s="32"/>
      <c r="Z288" s="32"/>
      <c r="AA288" s="32"/>
      <c r="AB288" s="219" t="s">
        <v>167</v>
      </c>
      <c r="AC288" s="33"/>
      <c r="AD288" s="23" t="str">
        <f>IF(M288="", "Error: Task name cannot be empty.", "")</f>
        <v/>
      </c>
    </row>
    <row r="289" spans="1:30" s="12" customFormat="1" ht="1.5" customHeight="1" outlineLevel="2" x14ac:dyDescent="0.35">
      <c r="A289" s="86" t="s">
        <v>57</v>
      </c>
      <c r="B289" s="18"/>
      <c r="C289" s="77"/>
      <c r="D289" s="77"/>
      <c r="E289" s="77"/>
      <c r="F289" s="76"/>
      <c r="G289" s="29"/>
      <c r="H289" s="29"/>
      <c r="I289" s="29"/>
      <c r="J289" s="29"/>
      <c r="K289" s="29"/>
      <c r="L289" s="163">
        <f ca="1">L288</f>
        <v>50</v>
      </c>
      <c r="M289" s="164" t="s">
        <v>58</v>
      </c>
      <c r="N289" s="161"/>
      <c r="O289" s="162"/>
      <c r="P289" s="30"/>
      <c r="Q289" s="30"/>
      <c r="R289" s="30"/>
      <c r="S289" s="30"/>
      <c r="T289" s="155"/>
      <c r="U289" s="30"/>
      <c r="V289" s="30"/>
      <c r="W289" s="30"/>
      <c r="X289" s="31"/>
      <c r="Y289" s="32"/>
      <c r="Z289" s="32"/>
      <c r="AA289" s="32"/>
      <c r="AB289" s="33"/>
      <c r="AC289" s="33"/>
      <c r="AD289" s="23"/>
    </row>
    <row r="290" spans="1:30" ht="43.5" customHeight="1" outlineLevel="2" x14ac:dyDescent="0.35">
      <c r="A290" s="86" t="s">
        <v>52</v>
      </c>
      <c r="B290" s="18"/>
      <c r="C290" s="78"/>
      <c r="D290" s="78"/>
      <c r="E290" s="78"/>
      <c r="F290" s="79"/>
      <c r="G290" s="19" t="s">
        <v>59</v>
      </c>
      <c r="H290" s="19" t="s">
        <v>66</v>
      </c>
      <c r="I290" s="20" t="s">
        <v>125</v>
      </c>
      <c r="J290" s="19" t="s">
        <v>59</v>
      </c>
      <c r="K290" s="35"/>
      <c r="L290" s="19"/>
      <c r="M290" s="263" t="str">
        <f ca="1">IFERROR(OFFSET(M290,-1,,1,1)+0.1,OFFSET(M290,-1,-1,1,1)&amp;".1")</f>
        <v>50.1</v>
      </c>
      <c r="N290" s="20" t="s">
        <v>320</v>
      </c>
      <c r="O290" s="20" t="s">
        <v>321</v>
      </c>
      <c r="P290" s="20"/>
      <c r="Q290" s="134"/>
      <c r="R290" s="127"/>
      <c r="S290" s="157">
        <f>CEILING((IF(J290="Yes", 0, IF(H290="-",AA290,AA290+AA290*VLOOKUP(H290,BUFFERS_BY_TYPE,2,FALSE)))) +
   (IF(J290="Yes", 0, IF(H290="-",AA290,AA290+AA290*VLOOKUP(H290,BUFFERS_BY_TYPE,2,FALSE))))*VLOOKUP($S$5, SALES_CALL_SCALE_ARRAY, 2,FALSE),0.25)</f>
        <v>10.25</v>
      </c>
      <c r="T290" s="158"/>
      <c r="U290" s="21">
        <v>0</v>
      </c>
      <c r="V290" s="21">
        <v>1</v>
      </c>
      <c r="W290" s="21">
        <v>0</v>
      </c>
      <c r="X290" s="156">
        <v>8</v>
      </c>
      <c r="Y290" s="157">
        <f>CEILING((IF(P290=AS_DEV_EFFORT, DEV_EFFORT*Q290%,
                           IF(P290=AS_DURATION_EFFORT, (MANUAL_DURATION*5)*Q290%,
                                    (IF(Q290&lt;=1,X290,
                                          IF(SUM(U290:W290)=0,(Q290*X290),
                                               (((Q290*U290)*(X290+(X290*EXTRA_FOR_H)))+
                                               ((Q290*V290)*X290)+
                                               ((Q290*W290)*(X290-(X290*LESS_FOR_L)))
                                    )*IF(R290=0,1,R290))))))+Z290), 0.25)</f>
        <v>8</v>
      </c>
      <c r="Z290" s="22"/>
      <c r="AA290" s="157">
        <f>Y290+Y290*VLOOKUP(I290,EXTRAS_ARRAY,2,FALSE)</f>
        <v>8.8000000000000007</v>
      </c>
      <c r="AB290" s="20" t="s">
        <v>322</v>
      </c>
      <c r="AC290" s="34"/>
      <c r="AD290" s="23" t="str">
        <f>IF(J290&lt;&gt;"Yes",
IF(S290&lt;=0,"Error: Effort value is not defined or is invalid.",
IF(AND(SUM(U290:W290)&gt;0,SUM(U290:W290)&lt;&gt;1),"Error: Complexity % distribution should sum to 100%.",
IF(AND(P290=AS_DEV_EFFORT,X290&lt;&gt;0),"Error: PDs should not be defined when defining as dev effort %.",
IF(AND(P290=AS_DURATION_EFFORT,X290&lt;&gt;0),"Error: PDs should not be defined when defining as duration effort %.","")))))</f>
        <v/>
      </c>
    </row>
    <row r="291" spans="1:30" s="9" customFormat="1" ht="7.5" customHeight="1" outlineLevel="2" x14ac:dyDescent="0.35">
      <c r="A291" s="86" t="s">
        <v>70</v>
      </c>
      <c r="B291" s="15"/>
      <c r="C291" s="72"/>
      <c r="D291" s="72"/>
      <c r="E291" s="72"/>
      <c r="F291" s="72"/>
      <c r="M291" s="252"/>
      <c r="T291" s="15"/>
      <c r="X291" s="15"/>
      <c r="AB291" s="10"/>
      <c r="AC291" s="10"/>
      <c r="AD291" s="10"/>
    </row>
    <row r="292" spans="1:30" s="14" customFormat="1" ht="15.5" customHeight="1" outlineLevel="1" x14ac:dyDescent="0.35">
      <c r="A292" s="86" t="s">
        <v>55</v>
      </c>
      <c r="B292" s="18"/>
      <c r="C292" s="77"/>
      <c r="D292" s="77"/>
      <c r="E292" s="77"/>
      <c r="F292" s="76"/>
      <c r="G292" s="29"/>
      <c r="H292" s="29"/>
      <c r="I292" s="29"/>
      <c r="J292" s="29"/>
      <c r="K292" s="29"/>
      <c r="L292" s="17">
        <f ca="1">LOOKUP(1000,INDIRECT("L1:"&amp;CELL("address",INDIRECT("R[-1]C",FALSE))))+1</f>
        <v>51</v>
      </c>
      <c r="M292" s="287" t="s">
        <v>323</v>
      </c>
      <c r="N292" s="288"/>
      <c r="O292" s="5"/>
      <c r="P292" s="30"/>
      <c r="Q292" s="30"/>
      <c r="R292" s="30"/>
      <c r="S292" s="30"/>
      <c r="T292" s="155">
        <f>IF($S$6="Exclude", SUMIFS(S293:S295, J293:J295, "&lt;&gt;Yes", G293:G295, "&lt;&gt;Yes"), SUMIFS(S293:S295, J293:J295, "&lt;&gt;Yes"))</f>
        <v>3.5</v>
      </c>
      <c r="U292" s="30"/>
      <c r="V292" s="30"/>
      <c r="W292" s="30"/>
      <c r="X292" s="31"/>
      <c r="Y292" s="32"/>
      <c r="Z292" s="32"/>
      <c r="AA292" s="32"/>
      <c r="AB292" s="219" t="s">
        <v>167</v>
      </c>
      <c r="AC292" s="33"/>
      <c r="AD292" s="23" t="str">
        <f>IF(M292="", "Error: Task name cannot be empty.", "")</f>
        <v/>
      </c>
    </row>
    <row r="293" spans="1:30" s="12" customFormat="1" ht="1.5" customHeight="1" outlineLevel="2" x14ac:dyDescent="0.35">
      <c r="A293" s="86" t="s">
        <v>57</v>
      </c>
      <c r="B293" s="18"/>
      <c r="C293" s="77"/>
      <c r="D293" s="77"/>
      <c r="E293" s="77"/>
      <c r="F293" s="76"/>
      <c r="G293" s="29"/>
      <c r="H293" s="29"/>
      <c r="I293" s="29"/>
      <c r="J293" s="29"/>
      <c r="K293" s="29"/>
      <c r="L293" s="163">
        <f ca="1">L292</f>
        <v>51</v>
      </c>
      <c r="M293" s="164" t="s">
        <v>58</v>
      </c>
      <c r="N293" s="161"/>
      <c r="O293" s="162"/>
      <c r="P293" s="30"/>
      <c r="Q293" s="30"/>
      <c r="R293" s="30"/>
      <c r="S293" s="30"/>
      <c r="T293" s="155"/>
      <c r="U293" s="30"/>
      <c r="V293" s="30"/>
      <c r="W293" s="30"/>
      <c r="X293" s="31"/>
      <c r="Y293" s="32"/>
      <c r="Z293" s="32"/>
      <c r="AA293" s="32"/>
      <c r="AB293" s="33"/>
      <c r="AC293" s="33"/>
      <c r="AD293" s="23"/>
    </row>
    <row r="294" spans="1:30" ht="43.5" customHeight="1" outlineLevel="2" x14ac:dyDescent="0.35">
      <c r="A294" s="86" t="s">
        <v>52</v>
      </c>
      <c r="B294" s="18"/>
      <c r="C294" s="78"/>
      <c r="D294" s="78"/>
      <c r="E294" s="78"/>
      <c r="F294" s="79"/>
      <c r="G294" s="19" t="s">
        <v>59</v>
      </c>
      <c r="H294" s="19" t="s">
        <v>60</v>
      </c>
      <c r="I294" s="20" t="s">
        <v>59</v>
      </c>
      <c r="J294" s="19" t="s">
        <v>59</v>
      </c>
      <c r="K294" s="35"/>
      <c r="L294" s="19"/>
      <c r="M294" s="263" t="str">
        <f ca="1">IFERROR(OFFSET(M294,-1,,1,1)+0.1,OFFSET(M294,-1,-1,1,1)&amp;".1")</f>
        <v>51.1</v>
      </c>
      <c r="N294" s="20" t="s">
        <v>324</v>
      </c>
      <c r="O294" s="20" t="s">
        <v>325</v>
      </c>
      <c r="P294" s="20"/>
      <c r="Q294" s="134"/>
      <c r="R294" s="127"/>
      <c r="S294" s="157">
        <f>CEILING((IF(J294="Yes", 0, IF(H294="-",AA294,AA294+AA294*VLOOKUP(H294,BUFFERS_BY_TYPE,2,FALSE)))) +
   (IF(J294="Yes", 0, IF(H294="-",AA294,AA294+AA294*VLOOKUP(H294,BUFFERS_BY_TYPE,2,FALSE))))*VLOOKUP($S$5, SALES_CALL_SCALE_ARRAY, 2,FALSE),0.25)</f>
        <v>3.5</v>
      </c>
      <c r="T294" s="158"/>
      <c r="U294" s="21">
        <v>0</v>
      </c>
      <c r="V294" s="21">
        <v>1</v>
      </c>
      <c r="W294" s="21">
        <v>0</v>
      </c>
      <c r="X294" s="156">
        <v>3</v>
      </c>
      <c r="Y294" s="157">
        <f>CEILING((IF(P294=AS_DEV_EFFORT, DEV_EFFORT*Q294%,
                           IF(P294=AS_DURATION_EFFORT, (MANUAL_DURATION*5)*Q294%,
                                    (IF(Q294&lt;=1,X294,
                                          IF(SUM(U294:W294)=0,(Q294*X294),
                                               (((Q294*U294)*(X294+(X294*EXTRA_FOR_H)))+
                                               ((Q294*V294)*X294)+
                                               ((Q294*W294)*(X294-(X294*LESS_FOR_L)))
                                    )*IF(R294=0,1,R294))))))+Z294), 0.25)</f>
        <v>3</v>
      </c>
      <c r="Z294" s="22"/>
      <c r="AA294" s="157">
        <f>Y294+Y294*VLOOKUP(I294,EXTRAS_ARRAY,2,FALSE)</f>
        <v>3</v>
      </c>
      <c r="AB294" s="20" t="s">
        <v>326</v>
      </c>
      <c r="AC294" s="34"/>
      <c r="AD294" s="23" t="str">
        <f>IF(J294&lt;&gt;"Yes",
IF(S294&lt;=0,"Error: Effort value is not defined or is invalid.",
IF(AND(SUM(U294:W294)&gt;0,SUM(U294:W294)&lt;&gt;1),"Error: Complexity % distribution should sum to 100%.",
IF(AND(P294=AS_DEV_EFFORT,X294&lt;&gt;0),"Error: PDs should not be defined when defining as dev effort %.",
IF(AND(P294=AS_DURATION_EFFORT,X294&lt;&gt;0),"Error: PDs should not be defined when defining as duration effort %.","")))))</f>
        <v/>
      </c>
    </row>
    <row r="295" spans="1:30" s="9" customFormat="1" ht="7.5" customHeight="1" outlineLevel="2" x14ac:dyDescent="0.35">
      <c r="A295" s="86" t="s">
        <v>70</v>
      </c>
      <c r="B295" s="15"/>
      <c r="C295" s="72"/>
      <c r="D295" s="72"/>
      <c r="E295" s="72"/>
      <c r="F295" s="72"/>
      <c r="M295" s="252"/>
      <c r="T295" s="15"/>
      <c r="X295" s="15"/>
      <c r="AB295" s="10"/>
      <c r="AC295" s="10"/>
      <c r="AD295" s="10"/>
    </row>
    <row r="296" spans="1:30" s="14" customFormat="1" ht="15.5" customHeight="1" outlineLevel="1" x14ac:dyDescent="0.35">
      <c r="A296" s="86" t="s">
        <v>161</v>
      </c>
      <c r="B296" s="18"/>
      <c r="C296" s="77"/>
      <c r="D296" s="77"/>
      <c r="E296" s="77"/>
      <c r="F296" s="76"/>
      <c r="G296" s="170"/>
      <c r="H296" s="170"/>
      <c r="I296" s="170"/>
      <c r="J296" s="170"/>
      <c r="K296" s="170"/>
      <c r="L296" s="85" t="s">
        <v>23</v>
      </c>
      <c r="M296" s="296" t="s">
        <v>327</v>
      </c>
      <c r="N296" s="288"/>
      <c r="O296" s="80"/>
      <c r="P296" s="81"/>
      <c r="Q296" s="81"/>
      <c r="R296" s="81"/>
      <c r="S296" s="291">
        <f>SUMGROUP(ROW(), "T")</f>
        <v>16.25</v>
      </c>
      <c r="T296" s="292"/>
      <c r="U296" s="295"/>
      <c r="V296" s="288"/>
      <c r="W296" s="288"/>
      <c r="X296" s="82"/>
      <c r="Y296" s="83"/>
      <c r="Z296" s="83"/>
      <c r="AA296" s="83"/>
      <c r="AB296" s="221"/>
      <c r="AC296" s="84"/>
      <c r="AD296" s="23" t="str">
        <f>IF(M296="", "Error: Module name cannot be empty.", "")</f>
        <v/>
      </c>
    </row>
    <row r="297" spans="1:30" s="14" customFormat="1" ht="15.5" customHeight="1" outlineLevel="1" x14ac:dyDescent="0.35">
      <c r="A297" s="86" t="s">
        <v>55</v>
      </c>
      <c r="B297" s="18"/>
      <c r="C297" s="77"/>
      <c r="D297" s="77"/>
      <c r="E297" s="77"/>
      <c r="F297" s="76"/>
      <c r="G297" s="29"/>
      <c r="H297" s="29"/>
      <c r="I297" s="29"/>
      <c r="J297" s="29"/>
      <c r="K297" s="29"/>
      <c r="L297" s="17">
        <f ca="1">LOOKUP(1000,INDIRECT("L1:"&amp;CELL("address",INDIRECT("R[-1]C",FALSE))))+1</f>
        <v>52</v>
      </c>
      <c r="M297" s="287" t="s">
        <v>328</v>
      </c>
      <c r="N297" s="288"/>
      <c r="O297" s="5"/>
      <c r="P297" s="30"/>
      <c r="Q297" s="30"/>
      <c r="R297" s="30"/>
      <c r="S297" s="30"/>
      <c r="T297" s="155">
        <f>IF($S$6="Exclude", SUMIFS(S298:S301, J298:J301, "&lt;&gt;Yes", G298:G301, "&lt;&gt;Yes"), SUMIFS(S298:S301, J298:J301, "&lt;&gt;Yes"))</f>
        <v>16.25</v>
      </c>
      <c r="U297" s="30"/>
      <c r="V297" s="30"/>
      <c r="W297" s="30"/>
      <c r="X297" s="31"/>
      <c r="Y297" s="32"/>
      <c r="Z297" s="32"/>
      <c r="AA297" s="32"/>
      <c r="AB297" s="219"/>
      <c r="AC297" s="33"/>
      <c r="AD297" s="23" t="str">
        <f>IF(M297="", "Error: Task name cannot be empty.", "")</f>
        <v/>
      </c>
    </row>
    <row r="298" spans="1:30" s="12" customFormat="1" ht="1.5" customHeight="1" outlineLevel="2" x14ac:dyDescent="0.35">
      <c r="A298" s="86" t="s">
        <v>57</v>
      </c>
      <c r="B298" s="18"/>
      <c r="C298" s="77"/>
      <c r="D298" s="77"/>
      <c r="E298" s="77"/>
      <c r="F298" s="76"/>
      <c r="G298" s="29"/>
      <c r="H298" s="29"/>
      <c r="I298" s="29"/>
      <c r="J298" s="29"/>
      <c r="K298" s="29"/>
      <c r="L298" s="163">
        <f ca="1">L297</f>
        <v>52</v>
      </c>
      <c r="M298" s="164" t="s">
        <v>58</v>
      </c>
      <c r="N298" s="161"/>
      <c r="O298" s="162"/>
      <c r="P298" s="30"/>
      <c r="Q298" s="30"/>
      <c r="R298" s="30"/>
      <c r="S298" s="30"/>
      <c r="T298" s="155"/>
      <c r="U298" s="30"/>
      <c r="V298" s="30"/>
      <c r="W298" s="30"/>
      <c r="X298" s="31"/>
      <c r="Y298" s="32"/>
      <c r="Z298" s="32"/>
      <c r="AA298" s="32"/>
      <c r="AB298" s="33"/>
      <c r="AC298" s="33"/>
      <c r="AD298" s="23"/>
    </row>
    <row r="299" spans="1:30" ht="43.5" customHeight="1" outlineLevel="2" x14ac:dyDescent="0.35">
      <c r="A299" s="86" t="s">
        <v>52</v>
      </c>
      <c r="B299" s="18"/>
      <c r="C299" s="78"/>
      <c r="D299" s="78"/>
      <c r="E299" s="78"/>
      <c r="F299" s="79"/>
      <c r="G299" s="19" t="s">
        <v>59</v>
      </c>
      <c r="H299" s="19" t="s">
        <v>66</v>
      </c>
      <c r="I299" s="20" t="s">
        <v>59</v>
      </c>
      <c r="J299" s="19" t="s">
        <v>59</v>
      </c>
      <c r="K299" s="35"/>
      <c r="L299" s="19"/>
      <c r="M299" s="263" t="str">
        <f ca="1">IFERROR(OFFSET(M299,-1,,1,1)+0.1,OFFSET(M299,-1,-1,1,1)&amp;".1")</f>
        <v>52.1</v>
      </c>
      <c r="N299" s="20" t="s">
        <v>329</v>
      </c>
      <c r="O299" s="20" t="s">
        <v>330</v>
      </c>
      <c r="P299" s="20"/>
      <c r="Q299" s="134"/>
      <c r="R299" s="127"/>
      <c r="S299" s="157">
        <f>CEILING((IF(J299="Yes", 0, IF(H299="-",AA299,AA299+AA299*VLOOKUP(H299,BUFFERS_BY_TYPE,2,FALSE)))) +
   (IF(J299="Yes", 0, IF(H299="-",AA299,AA299+AA299*VLOOKUP(H299,BUFFERS_BY_TYPE,2,FALSE))))*VLOOKUP($S$5, SALES_CALL_SCALE_ARRAY, 2,FALSE),0.25)</f>
        <v>7</v>
      </c>
      <c r="T299" s="158"/>
      <c r="U299" s="21">
        <v>0</v>
      </c>
      <c r="V299" s="21">
        <v>1</v>
      </c>
      <c r="W299" s="21">
        <v>0</v>
      </c>
      <c r="X299" s="156">
        <v>6</v>
      </c>
      <c r="Y299" s="157">
        <f>CEILING((IF(P299=AS_DEV_EFFORT, DEV_EFFORT*Q299%,
                           IF(P299=AS_DURATION_EFFORT, (MANUAL_DURATION*5)*Q299%,
                                    (IF(Q299&lt;=1,X299,
                                          IF(SUM(U299:W299)=0,(Q299*X299),
                                               (((Q299*U299)*(X299+(X299*EXTRA_FOR_H)))+
                                               ((Q299*V299)*X299)+
                                               ((Q299*W299)*(X299-(X299*LESS_FOR_L)))
                                    )*IF(R299=0,1,R299))))))+Z299), 0.25)</f>
        <v>6</v>
      </c>
      <c r="Z299" s="22"/>
      <c r="AA299" s="157">
        <f>Y299+Y299*VLOOKUP(I299,EXTRAS_ARRAY,2,FALSE)</f>
        <v>6</v>
      </c>
      <c r="AB299" s="20"/>
      <c r="AC299" s="34"/>
      <c r="AD299" s="23" t="str">
        <f>IF(J299&lt;&gt;"Yes",
IF(S299&lt;=0,"Error: Effort value is not defined or is invalid.",
IF(AND(SUM(U299:W299)&gt;0,SUM(U299:W299)&lt;&gt;1),"Error: Complexity % distribution should sum to 100%.",
IF(AND(P299=AS_DEV_EFFORT,X299&lt;&gt;0),"Error: PDs should not be defined when defining as dev effort %.",
IF(AND(P299=AS_DURATION_EFFORT,X299&lt;&gt;0),"Error: PDs should not be defined when defining as duration effort %.","")))))</f>
        <v/>
      </c>
    </row>
    <row r="300" spans="1:30" ht="43.5" customHeight="1" outlineLevel="2" x14ac:dyDescent="0.35">
      <c r="A300" s="86" t="s">
        <v>52</v>
      </c>
      <c r="B300" s="18"/>
      <c r="C300" s="78"/>
      <c r="D300" s="78"/>
      <c r="E300" s="78"/>
      <c r="F300" s="79"/>
      <c r="G300" s="19" t="s">
        <v>59</v>
      </c>
      <c r="H300" s="19" t="s">
        <v>66</v>
      </c>
      <c r="I300" s="20" t="s">
        <v>59</v>
      </c>
      <c r="J300" s="19" t="s">
        <v>59</v>
      </c>
      <c r="K300" s="35" t="s">
        <v>331</v>
      </c>
      <c r="L300" s="19"/>
      <c r="M300" s="263">
        <f ca="1">IFERROR(OFFSET(M300,-1,,1,1)+0.1,OFFSET(M300,-1,-1,1,1)&amp;".1")</f>
        <v>52.2</v>
      </c>
      <c r="N300" s="20" t="s">
        <v>332</v>
      </c>
      <c r="O300" s="20" t="s">
        <v>333</v>
      </c>
      <c r="P300" s="20"/>
      <c r="Q300" s="134"/>
      <c r="R300" s="127"/>
      <c r="S300" s="157">
        <f>CEILING((IF(J300="Yes", 0, IF(H300="-",AA300,AA300+AA300*VLOOKUP(H300,BUFFERS_BY_TYPE,2,FALSE)))) +
   (IF(J300="Yes", 0, IF(H300="-",AA300,AA300+AA300*VLOOKUP(H300,BUFFERS_BY_TYPE,2,FALSE))))*VLOOKUP($S$5, SALES_CALL_SCALE_ARRAY, 2,FALSE),0.25)</f>
        <v>9.25</v>
      </c>
      <c r="T300" s="158"/>
      <c r="U300" s="21">
        <v>0</v>
      </c>
      <c r="V300" s="21">
        <v>1</v>
      </c>
      <c r="W300" s="21">
        <v>0</v>
      </c>
      <c r="X300" s="156">
        <v>8</v>
      </c>
      <c r="Y300" s="157">
        <f>CEILING((IF(P300=AS_DEV_EFFORT, DEV_EFFORT*Q300%,
                           IF(P300=AS_DURATION_EFFORT, (MANUAL_DURATION*5)*Q300%,
                                    (IF(Q300&lt;=1,X300,
                                          IF(SUM(U300:W300)=0,(Q300*X300),
                                               (((Q300*U300)*(X300+(X300*EXTRA_FOR_H)))+
                                               ((Q300*V300)*X300)+
                                               ((Q300*W300)*(X300-(X300*LESS_FOR_L)))
                                    )*IF(R300=0,1,R300))))))+Z300), 0.25)</f>
        <v>8</v>
      </c>
      <c r="Z300" s="22"/>
      <c r="AA300" s="157">
        <f>Y300+Y300*VLOOKUP(I300,EXTRAS_ARRAY,2,FALSE)</f>
        <v>8</v>
      </c>
      <c r="AB300" s="20"/>
      <c r="AC300" s="34"/>
      <c r="AD300" s="23" t="str">
        <f>IF(J300&lt;&gt;"Yes",
IF(S300&lt;=0,"Error: Effort value is not defined or is invalid.",
IF(AND(SUM(U300:W300)&gt;0,SUM(U300:W300)&lt;&gt;1),"Error: Complexity % distribution should sum to 100%.",
IF(AND(P300=AS_DEV_EFFORT,X300&lt;&gt;0),"Error: PDs should not be defined when defining as dev effort %.",
IF(AND(P300=AS_DURATION_EFFORT,X300&lt;&gt;0),"Error: PDs should not be defined when defining as duration effort %.","")))))</f>
        <v/>
      </c>
    </row>
    <row r="301" spans="1:30" s="9" customFormat="1" ht="7.5" customHeight="1" outlineLevel="2" x14ac:dyDescent="0.35">
      <c r="A301" s="86" t="s">
        <v>70</v>
      </c>
      <c r="B301" s="15"/>
      <c r="C301" s="72"/>
      <c r="D301" s="72"/>
      <c r="E301" s="72"/>
      <c r="F301" s="72"/>
      <c r="M301" s="252"/>
      <c r="T301" s="15"/>
      <c r="X301" s="15"/>
      <c r="AB301" s="10"/>
      <c r="AC301" s="10"/>
      <c r="AD301" s="10"/>
    </row>
    <row r="302" spans="1:30" s="9" customFormat="1" ht="3" customHeight="1" outlineLevel="1" x14ac:dyDescent="0.35">
      <c r="A302" s="86" t="s">
        <v>118</v>
      </c>
      <c r="C302" s="72"/>
      <c r="D302" s="72"/>
      <c r="E302" s="72"/>
      <c r="F302" s="72"/>
      <c r="G302" s="25"/>
      <c r="H302" s="25"/>
      <c r="I302" s="25"/>
      <c r="J302" s="25"/>
      <c r="K302" s="25"/>
      <c r="L302" s="56"/>
      <c r="M302" s="264"/>
      <c r="N302" s="57"/>
      <c r="O302" s="57"/>
      <c r="P302" s="56"/>
      <c r="Q302" s="56"/>
      <c r="R302" s="56"/>
      <c r="S302" s="56"/>
      <c r="T302" s="56"/>
      <c r="U302" s="56"/>
      <c r="V302" s="56"/>
      <c r="W302" s="56"/>
      <c r="X302" s="56"/>
      <c r="Y302" s="56"/>
      <c r="Z302" s="56"/>
      <c r="AA302" s="56"/>
      <c r="AB302" s="57"/>
      <c r="AC302" s="57"/>
      <c r="AD302" s="10"/>
    </row>
    <row r="303" spans="1:30" s="14" customFormat="1" ht="18.5" customHeight="1" x14ac:dyDescent="0.35">
      <c r="A303" s="86" t="s">
        <v>49</v>
      </c>
      <c r="B303" s="12"/>
      <c r="C303" s="73"/>
      <c r="D303" s="73"/>
      <c r="E303" s="73"/>
      <c r="F303" s="72"/>
      <c r="G303" s="52"/>
      <c r="H303" s="52"/>
      <c r="I303" s="52"/>
      <c r="J303" s="52"/>
      <c r="K303" s="52"/>
      <c r="L303" s="52" t="s">
        <v>334</v>
      </c>
      <c r="M303" s="261" t="s">
        <v>335</v>
      </c>
      <c r="N303" s="53"/>
      <c r="O303" s="54"/>
      <c r="P303" s="55"/>
      <c r="Q303" s="55"/>
      <c r="R303" s="55"/>
      <c r="S303" s="305">
        <f>CEILING(SUMIF(J304:J331, "&lt;&gt;Yes", T304:T331),1)</f>
        <v>131</v>
      </c>
      <c r="T303" s="292"/>
      <c r="U303" s="55"/>
      <c r="V303" s="55"/>
      <c r="W303" s="55"/>
      <c r="X303" s="55"/>
      <c r="Y303" s="55"/>
      <c r="Z303" s="55"/>
      <c r="AA303" s="55"/>
      <c r="AB303" s="55"/>
      <c r="AC303" s="55"/>
      <c r="AD303" s="13"/>
    </row>
    <row r="304" spans="1:30" s="9" customFormat="1" ht="3" customHeight="1" outlineLevel="1" x14ac:dyDescent="0.35">
      <c r="A304" s="86" t="s">
        <v>54</v>
      </c>
      <c r="B304" s="15"/>
      <c r="C304" s="72"/>
      <c r="D304" s="72"/>
      <c r="E304" s="72"/>
      <c r="F304" s="72"/>
      <c r="G304" s="25"/>
      <c r="H304" s="25"/>
      <c r="I304" s="25"/>
      <c r="J304" s="25"/>
      <c r="K304" s="25"/>
      <c r="L304" s="26">
        <v>0</v>
      </c>
      <c r="M304" s="262"/>
      <c r="N304" s="25"/>
      <c r="O304" s="25"/>
      <c r="P304" s="25"/>
      <c r="Q304" s="25"/>
      <c r="R304" s="25"/>
      <c r="S304" s="25"/>
      <c r="T304" s="27"/>
      <c r="U304" s="25"/>
      <c r="V304" s="25"/>
      <c r="W304" s="25"/>
      <c r="X304" s="27"/>
      <c r="Y304" s="25"/>
      <c r="Z304" s="25"/>
      <c r="AA304" s="25"/>
      <c r="AB304" s="28"/>
      <c r="AC304" s="28"/>
      <c r="AD304" s="10"/>
    </row>
    <row r="305" spans="1:30" s="14" customFormat="1" ht="15.5" customHeight="1" outlineLevel="1" x14ac:dyDescent="0.35">
      <c r="A305" s="86" t="s">
        <v>161</v>
      </c>
      <c r="B305" s="18"/>
      <c r="C305" s="77"/>
      <c r="D305" s="77"/>
      <c r="E305" s="77"/>
      <c r="F305" s="76"/>
      <c r="G305" s="170"/>
      <c r="H305" s="170"/>
      <c r="I305" s="170"/>
      <c r="J305" s="170"/>
      <c r="K305" s="170"/>
      <c r="L305" s="85" t="s">
        <v>23</v>
      </c>
      <c r="M305" s="296" t="s">
        <v>336</v>
      </c>
      <c r="N305" s="288"/>
      <c r="O305" s="80"/>
      <c r="P305" s="81"/>
      <c r="Q305" s="81"/>
      <c r="R305" s="81"/>
      <c r="S305" s="291">
        <f>SUMGROUP(ROW(), "T")</f>
        <v>9</v>
      </c>
      <c r="T305" s="292"/>
      <c r="U305" s="295"/>
      <c r="V305" s="288"/>
      <c r="W305" s="288"/>
      <c r="X305" s="82"/>
      <c r="Y305" s="83"/>
      <c r="Z305" s="83"/>
      <c r="AA305" s="83"/>
      <c r="AB305" s="221"/>
      <c r="AC305" s="84"/>
      <c r="AD305" s="23" t="str">
        <f>IF(M305="", "Error: Module name cannot be empty.", "")</f>
        <v/>
      </c>
    </row>
    <row r="306" spans="1:30" s="14" customFormat="1" ht="15.5" customHeight="1" outlineLevel="1" x14ac:dyDescent="0.35">
      <c r="A306" s="86" t="s">
        <v>55</v>
      </c>
      <c r="B306" s="18"/>
      <c r="C306" s="77"/>
      <c r="D306" s="77"/>
      <c r="E306" s="77"/>
      <c r="F306" s="76"/>
      <c r="G306" s="29"/>
      <c r="H306" s="29"/>
      <c r="I306" s="29"/>
      <c r="J306" s="29"/>
      <c r="K306" s="29"/>
      <c r="L306" s="17">
        <f ca="1">LOOKUP(1000,INDIRECT("L1:"&amp;CELL("address",INDIRECT("R[-1]C",FALSE))))+1</f>
        <v>1</v>
      </c>
      <c r="M306" s="287" t="s">
        <v>337</v>
      </c>
      <c r="N306" s="288"/>
      <c r="O306" s="5"/>
      <c r="P306" s="30"/>
      <c r="Q306" s="30"/>
      <c r="R306" s="30"/>
      <c r="S306" s="30"/>
      <c r="T306" s="155">
        <f>IF($S$6="Exclude", SUMIFS(S307:S310, J307:J310, "&lt;&gt;Yes", G307:G310, "&lt;&gt;Yes"), SUMIFS(S307:S310, J307:J310, "&lt;&gt;Yes"))</f>
        <v>9</v>
      </c>
      <c r="U306" s="30"/>
      <c r="V306" s="30"/>
      <c r="W306" s="30"/>
      <c r="X306" s="31"/>
      <c r="Y306" s="32"/>
      <c r="Z306" s="32"/>
      <c r="AA306" s="32"/>
      <c r="AB306" s="219"/>
      <c r="AC306" s="33"/>
      <c r="AD306" s="23" t="str">
        <f>IF(M306="", "Error: Task name cannot be empty.", "")</f>
        <v/>
      </c>
    </row>
    <row r="307" spans="1:30" s="12" customFormat="1" ht="1.5" customHeight="1" outlineLevel="2" x14ac:dyDescent="0.35">
      <c r="A307" s="86" t="s">
        <v>57</v>
      </c>
      <c r="B307" s="18"/>
      <c r="C307" s="77"/>
      <c r="D307" s="77"/>
      <c r="E307" s="77"/>
      <c r="F307" s="76"/>
      <c r="G307" s="29"/>
      <c r="H307" s="29"/>
      <c r="I307" s="29"/>
      <c r="J307" s="29"/>
      <c r="K307" s="29"/>
      <c r="L307" s="163">
        <f ca="1">L306</f>
        <v>1</v>
      </c>
      <c r="M307" s="164" t="s">
        <v>58</v>
      </c>
      <c r="N307" s="161"/>
      <c r="O307" s="162"/>
      <c r="P307" s="30"/>
      <c r="Q307" s="30"/>
      <c r="R307" s="30"/>
      <c r="S307" s="30"/>
      <c r="T307" s="155"/>
      <c r="U307" s="30"/>
      <c r="V307" s="30"/>
      <c r="W307" s="30"/>
      <c r="X307" s="31"/>
      <c r="Y307" s="32"/>
      <c r="Z307" s="32"/>
      <c r="AA307" s="32"/>
      <c r="AB307" s="33"/>
      <c r="AC307" s="33"/>
      <c r="AD307" s="23"/>
    </row>
    <row r="308" spans="1:30" ht="43.5" customHeight="1" outlineLevel="2" x14ac:dyDescent="0.35">
      <c r="A308" s="86" t="s">
        <v>52</v>
      </c>
      <c r="B308" s="18"/>
      <c r="C308" s="78"/>
      <c r="D308" s="78"/>
      <c r="E308" s="78"/>
      <c r="F308" s="79"/>
      <c r="G308" s="19" t="s">
        <v>59</v>
      </c>
      <c r="H308" s="19" t="s">
        <v>60</v>
      </c>
      <c r="I308" s="20" t="s">
        <v>59</v>
      </c>
      <c r="J308" s="19" t="s">
        <v>59</v>
      </c>
      <c r="K308" s="35"/>
      <c r="L308" s="19"/>
      <c r="M308" s="263" t="str">
        <f ca="1">IFERROR(OFFSET(M308,-1,,1,1)+0.1,OFFSET(M308,-1,-1,1,1)&amp;".1")</f>
        <v>1.1</v>
      </c>
      <c r="N308" s="20" t="s">
        <v>338</v>
      </c>
      <c r="O308" s="20" t="s">
        <v>339</v>
      </c>
      <c r="P308" s="20"/>
      <c r="Q308" s="134"/>
      <c r="R308" s="127"/>
      <c r="S308" s="157">
        <f>CEILING((IF(J308="Yes", 0, IF(H308="-",AA308,AA308+AA308*VLOOKUP(H308,BUFFERS_BY_TYPE,2,FALSE)))) +
   (IF(J308="Yes", 0, IF(H308="-",AA308,AA308+AA308*VLOOKUP(H308,BUFFERS_BY_TYPE,2,FALSE))))*VLOOKUP($S$5, SALES_CALL_SCALE_ARRAY, 2,FALSE),0.25)</f>
        <v>3.5</v>
      </c>
      <c r="T308" s="158"/>
      <c r="U308" s="21">
        <v>0</v>
      </c>
      <c r="V308" s="21">
        <v>1</v>
      </c>
      <c r="W308" s="21">
        <v>0</v>
      </c>
      <c r="X308" s="156">
        <v>3</v>
      </c>
      <c r="Y308" s="157">
        <f>CEILING((IF(P308=AS_DEV_EFFORT, DEV_EFFORT*Q308%,
                           IF(P308=AS_DURATION_EFFORT, (MANUAL_DURATION*5)*Q308%,
                                    (IF(Q308&lt;=1,X308,
                                          IF(SUM(U308:W308)=0,(Q308*X308),
                                               (((Q308*U308)*(X308+(X308*EXTRA_FOR_H)))+
                                               ((Q308*V308)*X308)+
                                               ((Q308*W308)*(X308-(X308*LESS_FOR_L)))
                                    )*IF(R308=0,1,R308))))))+Z308), 0.25)</f>
        <v>3</v>
      </c>
      <c r="Z308" s="22"/>
      <c r="AA308" s="157">
        <f>Y308+Y308*VLOOKUP(I308,EXTRAS_ARRAY,2,FALSE)</f>
        <v>3</v>
      </c>
      <c r="AB308" s="20"/>
      <c r="AC308" s="34"/>
      <c r="AD308" s="23" t="str">
        <f>IF(J308&lt;&gt;"Yes",
IF(S308&lt;=0,"Error: Effort value is not defined or is invalid.",
IF(AND(SUM(U308:W308)&gt;0,SUM(U308:W308)&lt;&gt;1),"Error: Complexity % distribution should sum to 100%.",
IF(AND(P308=AS_DEV_EFFORT,X308&lt;&gt;0),"Error: PDs should not be defined when defining as dev effort %.",
IF(AND(P308=AS_DURATION_EFFORT,X308&lt;&gt;0),"Error: PDs should not be defined when defining as duration effort %.","")))))</f>
        <v/>
      </c>
    </row>
    <row r="309" spans="1:30" ht="43.5" customHeight="1" outlineLevel="2" x14ac:dyDescent="0.35">
      <c r="A309" s="86" t="s">
        <v>52</v>
      </c>
      <c r="B309" s="18"/>
      <c r="C309" s="78"/>
      <c r="D309" s="78"/>
      <c r="E309" s="78"/>
      <c r="F309" s="79"/>
      <c r="G309" s="19" t="s">
        <v>59</v>
      </c>
      <c r="H309" s="19" t="s">
        <v>60</v>
      </c>
      <c r="I309" s="20" t="s">
        <v>59</v>
      </c>
      <c r="J309" s="19" t="s">
        <v>59</v>
      </c>
      <c r="K309" s="35"/>
      <c r="L309" s="19"/>
      <c r="M309" s="263">
        <f ca="1">IFERROR(OFFSET(M309,-1,,1,1)+0.1,OFFSET(M309,-1,-1,1,1)&amp;".1")</f>
        <v>1.2000000000000002</v>
      </c>
      <c r="N309" s="20" t="s">
        <v>340</v>
      </c>
      <c r="O309" s="20" t="s">
        <v>341</v>
      </c>
      <c r="P309" s="20" t="s">
        <v>342</v>
      </c>
      <c r="Q309" s="134">
        <f>Total_Use_Cases</f>
        <v>0</v>
      </c>
      <c r="R309" s="127">
        <v>30</v>
      </c>
      <c r="S309" s="157">
        <f>CEILING((IF(J309="Yes", 0, IF(H309="-",AA309,AA309+AA309*VLOOKUP(H309,BUFFERS_BY_TYPE,2,FALSE)))) +
   (IF(J309="Yes", 0, IF(H309="-",AA309,AA309+AA309*VLOOKUP(H309,BUFFERS_BY_TYPE,2,FALSE))))*VLOOKUP($S$5, SALES_CALL_SCALE_ARRAY, 2,FALSE),0.25)</f>
        <v>5.5</v>
      </c>
      <c r="T309" s="158"/>
      <c r="U309" s="21">
        <v>0</v>
      </c>
      <c r="V309" s="21">
        <v>1</v>
      </c>
      <c r="W309" s="21">
        <v>0</v>
      </c>
      <c r="X309" s="156">
        <v>5</v>
      </c>
      <c r="Y309" s="157">
        <f>CEILING((IF(P309=AS_DEV_EFFORT, DEV_EFFORT*Q309%,
                           IF(P309=AS_DURATION_EFFORT, (MANUAL_DURATION*5)*Q309%,
                                    (IF(Q309&lt;=1,X309,
                                          IF(SUM(U309:W309)=0,(Q309*X309),
                                               (((Q309*U309)*(X309+(X309*EXTRA_FOR_H)))+
                                               ((Q309*V309)*X309)+
                                               ((Q309*W309)*(X309-(X309*LESS_FOR_L)))
                                    )*IF(R309=0,1,R309))))))+Z309), 0.25)</f>
        <v>5</v>
      </c>
      <c r="Z309" s="22"/>
      <c r="AA309" s="157">
        <f>Y309+Y309*VLOOKUP(I309,EXTRAS_ARRAY,2,FALSE)</f>
        <v>5</v>
      </c>
      <c r="AB309" s="20"/>
      <c r="AC309" s="34"/>
      <c r="AD309" s="23" t="str">
        <f>IF(J309&lt;&gt;"Yes",
IF(S309&lt;=0,"Error: Effort value is not defined or is invalid.",
IF(AND(SUM(U309:W309)&gt;0,SUM(U309:W309)&lt;&gt;1),"Error: Complexity % distribution should sum to 100%.",
IF(AND(P309=AS_DEV_EFFORT,X309&lt;&gt;0),"Error: PDs should not be defined when defining as dev effort %.",
IF(AND(P309=AS_DURATION_EFFORT,X309&lt;&gt;0),"Error: PDs should not be defined when defining as duration effort %.","")))))</f>
        <v/>
      </c>
    </row>
    <row r="310" spans="1:30" s="9" customFormat="1" ht="7.5" customHeight="1" outlineLevel="2" x14ac:dyDescent="0.35">
      <c r="A310" s="86" t="s">
        <v>70</v>
      </c>
      <c r="B310" s="15"/>
      <c r="C310" s="72"/>
      <c r="D310" s="72"/>
      <c r="E310" s="72"/>
      <c r="F310" s="72"/>
      <c r="M310" s="252"/>
      <c r="T310" s="15"/>
      <c r="X310" s="15"/>
      <c r="AB310" s="10"/>
      <c r="AC310" s="10"/>
      <c r="AD310" s="10"/>
    </row>
    <row r="311" spans="1:30" s="14" customFormat="1" ht="15.5" customHeight="1" outlineLevel="1" x14ac:dyDescent="0.35">
      <c r="A311" s="86" t="s">
        <v>161</v>
      </c>
      <c r="B311" s="18"/>
      <c r="C311" s="77"/>
      <c r="D311" s="77"/>
      <c r="E311" s="77"/>
      <c r="F311" s="76"/>
      <c r="G311" s="170"/>
      <c r="H311" s="170"/>
      <c r="I311" s="170"/>
      <c r="J311" s="170"/>
      <c r="K311" s="170"/>
      <c r="L311" s="85" t="s">
        <v>23</v>
      </c>
      <c r="M311" s="296" t="s">
        <v>343</v>
      </c>
      <c r="N311" s="288"/>
      <c r="O311" s="80"/>
      <c r="P311" s="81"/>
      <c r="Q311" s="81"/>
      <c r="R311" s="81"/>
      <c r="S311" s="291">
        <f>SUMGROUP(ROW(), "T")</f>
        <v>121.75</v>
      </c>
      <c r="T311" s="292"/>
      <c r="U311" s="295"/>
      <c r="V311" s="288"/>
      <c r="W311" s="288"/>
      <c r="X311" s="82"/>
      <c r="Y311" s="83"/>
      <c r="Z311" s="83"/>
      <c r="AA311" s="83"/>
      <c r="AB311" s="221"/>
      <c r="AC311" s="84"/>
      <c r="AD311" s="23" t="str">
        <f>IF(M311="", "Error: Module name cannot be empty.", "")</f>
        <v/>
      </c>
    </row>
    <row r="312" spans="1:30" s="14" customFormat="1" ht="15.5" customHeight="1" outlineLevel="1" x14ac:dyDescent="0.35">
      <c r="A312" s="86" t="s">
        <v>55</v>
      </c>
      <c r="B312" s="18"/>
      <c r="C312" s="77"/>
      <c r="D312" s="77"/>
      <c r="E312" s="77"/>
      <c r="F312" s="76"/>
      <c r="G312" s="29"/>
      <c r="H312" s="29"/>
      <c r="I312" s="29"/>
      <c r="J312" s="29"/>
      <c r="K312" s="29"/>
      <c r="L312" s="17">
        <f ca="1">LOOKUP(1000,INDIRECT("L1:"&amp;CELL("address",INDIRECT("R[-1]C",FALSE))))+1</f>
        <v>2</v>
      </c>
      <c r="M312" s="287" t="s">
        <v>344</v>
      </c>
      <c r="N312" s="288"/>
      <c r="O312" s="5"/>
      <c r="P312" s="30"/>
      <c r="Q312" s="30"/>
      <c r="R312" s="30"/>
      <c r="S312" s="30"/>
      <c r="T312" s="155">
        <f>IF($S$6="Exclude", SUMIFS(S313:S318, J313:J318, "&lt;&gt;Yes", G313:G318, "&lt;&gt;Yes"), SUMIFS(S313:S318, J313:J318, "&lt;&gt;Yes"))</f>
        <v>71</v>
      </c>
      <c r="U312" s="30"/>
      <c r="V312" s="30"/>
      <c r="W312" s="30"/>
      <c r="X312" s="31"/>
      <c r="Y312" s="32"/>
      <c r="Z312" s="32"/>
      <c r="AA312" s="32"/>
      <c r="AB312" s="219"/>
      <c r="AC312" s="33"/>
      <c r="AD312" s="23" t="str">
        <f>IF(M312="", "Error: Task name cannot be empty.", "")</f>
        <v/>
      </c>
    </row>
    <row r="313" spans="1:30" s="12" customFormat="1" ht="1.5" customHeight="1" outlineLevel="2" x14ac:dyDescent="0.35">
      <c r="A313" s="86" t="s">
        <v>57</v>
      </c>
      <c r="B313" s="18"/>
      <c r="C313" s="77"/>
      <c r="D313" s="77"/>
      <c r="E313" s="77"/>
      <c r="F313" s="76"/>
      <c r="G313" s="29"/>
      <c r="H313" s="29"/>
      <c r="I313" s="29"/>
      <c r="J313" s="29"/>
      <c r="K313" s="29"/>
      <c r="L313" s="163">
        <f ca="1">L312</f>
        <v>2</v>
      </c>
      <c r="M313" s="164" t="s">
        <v>58</v>
      </c>
      <c r="N313" s="161"/>
      <c r="O313" s="162"/>
      <c r="P313" s="30"/>
      <c r="Q313" s="30"/>
      <c r="R313" s="30"/>
      <c r="S313" s="30"/>
      <c r="T313" s="155"/>
      <c r="U313" s="30"/>
      <c r="V313" s="30"/>
      <c r="W313" s="30"/>
      <c r="X313" s="31"/>
      <c r="Y313" s="32"/>
      <c r="Z313" s="32"/>
      <c r="AA313" s="32"/>
      <c r="AB313" s="33"/>
      <c r="AC313" s="33"/>
      <c r="AD313" s="23"/>
    </row>
    <row r="314" spans="1:30" ht="43.5" customHeight="1" outlineLevel="2" x14ac:dyDescent="0.35">
      <c r="A314" s="86" t="s">
        <v>52</v>
      </c>
      <c r="B314" s="18"/>
      <c r="C314" s="78"/>
      <c r="D314" s="78"/>
      <c r="E314" s="78"/>
      <c r="F314" s="79"/>
      <c r="G314" s="19" t="s">
        <v>59</v>
      </c>
      <c r="H314" s="19" t="s">
        <v>60</v>
      </c>
      <c r="I314" s="20" t="s">
        <v>59</v>
      </c>
      <c r="J314" s="19" t="s">
        <v>59</v>
      </c>
      <c r="K314" s="35"/>
      <c r="L314" s="19"/>
      <c r="M314" s="263" t="str">
        <f ca="1">IFERROR(OFFSET(M314,-1,,1,1)+0.1,OFFSET(M314,-1,-1,1,1)&amp;".1")</f>
        <v>2.1</v>
      </c>
      <c r="N314" s="20" t="s">
        <v>345</v>
      </c>
      <c r="O314" s="20" t="s">
        <v>346</v>
      </c>
      <c r="P314" s="20"/>
      <c r="Q314" s="134"/>
      <c r="R314" s="127"/>
      <c r="S314" s="157">
        <f>CEILING((IF(J314="Yes", 0, IF(H314="-",AA314,AA314+AA314*VLOOKUP(H314,BUFFERS_BY_TYPE,2,FALSE)))) +
   (IF(J314="Yes", 0, IF(H314="-",AA314,AA314+AA314*VLOOKUP(H314,BUFFERS_BY_TYPE,2,FALSE))))*VLOOKUP($S$5, SALES_CALL_SCALE_ARRAY, 2,FALSE),0.25)</f>
        <v>2.25</v>
      </c>
      <c r="T314" s="158"/>
      <c r="U314" s="21">
        <v>0</v>
      </c>
      <c r="V314" s="21">
        <v>1</v>
      </c>
      <c r="W314" s="21">
        <v>0</v>
      </c>
      <c r="X314" s="156">
        <v>2</v>
      </c>
      <c r="Y314" s="157">
        <f>CEILING((IF(P314=AS_DEV_EFFORT, DEV_EFFORT*Q314%,
                           IF(P314=AS_DURATION_EFFORT, (MANUAL_DURATION*5)*Q314%,
                                    (IF(Q314&lt;=1,X314,
                                          IF(SUM(U314:W314)=0,(Q314*X314),
                                               (((Q314*U314)*(X314+(X314*EXTRA_FOR_H)))+
                                               ((Q314*V314)*X314)+
                                               ((Q314*W314)*(X314-(X314*LESS_FOR_L)))
                                    )*IF(R314=0,1,R314))))))+Z314), 0.25)</f>
        <v>2</v>
      </c>
      <c r="Z314" s="22"/>
      <c r="AA314" s="157">
        <f>Y314+Y314*VLOOKUP(I314,EXTRAS_ARRAY,2,FALSE)</f>
        <v>2</v>
      </c>
      <c r="AB314" s="20"/>
      <c r="AC314" s="34"/>
      <c r="AD314" s="23" t="str">
        <f>IF(J314&lt;&gt;"Yes",
IF(S314&lt;=0,"Error: Effort value is not defined or is invalid.",
IF(AND(SUM(U314:W314)&gt;0,SUM(U314:W314)&lt;&gt;1),"Error: Complexity % distribution should sum to 100%.",
IF(AND(P314=AS_DEV_EFFORT,X314&lt;&gt;0),"Error: PDs should not be defined when defining as dev effort %.",
IF(AND(P314=AS_DURATION_EFFORT,X314&lt;&gt;0),"Error: PDs should not be defined when defining as duration effort %.","")))))</f>
        <v/>
      </c>
    </row>
    <row r="315" spans="1:30" ht="87" customHeight="1" outlineLevel="2" x14ac:dyDescent="0.35">
      <c r="A315" s="86" t="s">
        <v>52</v>
      </c>
      <c r="B315" s="18"/>
      <c r="C315" s="78"/>
      <c r="D315" s="78"/>
      <c r="E315" s="78"/>
      <c r="F315" s="79"/>
      <c r="G315" s="19" t="s">
        <v>59</v>
      </c>
      <c r="H315" s="19" t="s">
        <v>66</v>
      </c>
      <c r="I315" s="20" t="s">
        <v>59</v>
      </c>
      <c r="J315" s="19" t="s">
        <v>59</v>
      </c>
      <c r="K315" s="35" t="s">
        <v>347</v>
      </c>
      <c r="L315" s="19"/>
      <c r="M315" s="263">
        <f ca="1">IFERROR(OFFSET(M315,-1,,1,1)+0.1,OFFSET(M315,-1,-1,1,1)&amp;".1")</f>
        <v>2.2000000000000002</v>
      </c>
      <c r="N315" s="20" t="s">
        <v>348</v>
      </c>
      <c r="O315" s="20" t="s">
        <v>349</v>
      </c>
      <c r="P315" s="20">
        <f>Total_Use_Cases * R315</f>
        <v>0</v>
      </c>
      <c r="Q315" s="134">
        <f>Total_Use_Cases</f>
        <v>0</v>
      </c>
      <c r="R315" s="127">
        <v>5</v>
      </c>
      <c r="S315" s="157">
        <f>CEILING((IF(J315="Yes", 0, IF(H315="-",AA315,AA315+AA315*VLOOKUP(H315,BUFFERS_BY_TYPE,2,FALSE)))) +
   (IF(J315="Yes", 0, IF(H315="-",AA315,AA315+AA315*VLOOKUP(H315,BUFFERS_BY_TYPE,2,FALSE))))*VLOOKUP($S$5, SALES_CALL_SCALE_ARRAY, 2,FALSE),0.25)</f>
        <v>23</v>
      </c>
      <c r="T315" s="158"/>
      <c r="U315" s="21">
        <v>0</v>
      </c>
      <c r="V315" s="21">
        <v>1</v>
      </c>
      <c r="W315" s="21">
        <v>0</v>
      </c>
      <c r="X315" s="156">
        <v>20</v>
      </c>
      <c r="Y315" s="157">
        <f>CEILING((IF(P315=AS_DEV_EFFORT, DEV_EFFORT*Q315%,
                           IF(P315=AS_DURATION_EFFORT, (MANUAL_DURATION*5)*Q315%,
                                    (IF(Q315&lt;=1,X315,
                                          IF(SUM(U315:W315)=0,(Q315*X315),
                                               (((Q315*U315)*(X315+(X315*EXTRA_FOR_H)))+
                                               ((Q315*V315)*X315)+
                                               ((Q315*W315)*(X315-(X315*LESS_FOR_L)))
                                    )*IF(R315=0,1,R315))))))+Z315), 0.25)</f>
        <v>20</v>
      </c>
      <c r="Z315" s="22"/>
      <c r="AA315" s="157">
        <f>Y315+Y315*VLOOKUP(I315,EXTRAS_ARRAY,2,FALSE)</f>
        <v>20</v>
      </c>
      <c r="AB315" s="20"/>
      <c r="AC315" s="34"/>
      <c r="AD315" s="23" t="str">
        <f>IF(J315&lt;&gt;"Yes",
IF(S315&lt;=0,"Error: Effort value is not defined or is invalid.",
IF(AND(SUM(U315:W315)&gt;0,SUM(U315:W315)&lt;&gt;1),"Error: Complexity % distribution should sum to 100%.",
IF(AND(P315=AS_DEV_EFFORT,X315&lt;&gt;0),"Error: PDs should not be defined when defining as dev effort %.",
IF(AND(P315=AS_DURATION_EFFORT,X315&lt;&gt;0),"Error: PDs should not be defined when defining as duration effort %.","")))))</f>
        <v/>
      </c>
    </row>
    <row r="316" spans="1:30" ht="87" customHeight="1" outlineLevel="2" x14ac:dyDescent="0.35">
      <c r="A316" s="86" t="s">
        <v>52</v>
      </c>
      <c r="B316" s="18"/>
      <c r="C316" s="78"/>
      <c r="D316" s="78"/>
      <c r="E316" s="78"/>
      <c r="F316" s="79"/>
      <c r="G316" s="19" t="s">
        <v>59</v>
      </c>
      <c r="H316" s="19" t="s">
        <v>66</v>
      </c>
      <c r="I316" s="20" t="s">
        <v>59</v>
      </c>
      <c r="J316" s="19" t="s">
        <v>59</v>
      </c>
      <c r="K316" s="35" t="s">
        <v>350</v>
      </c>
      <c r="L316" s="19"/>
      <c r="M316" s="263">
        <f ca="1">IFERROR(OFFSET(M316,-1,,1,1)+0.1,OFFSET(M316,-1,-1,1,1)&amp;".1")</f>
        <v>2.3000000000000003</v>
      </c>
      <c r="N316" s="20" t="s">
        <v>351</v>
      </c>
      <c r="O316" s="20" t="s">
        <v>352</v>
      </c>
      <c r="P316" s="20">
        <f>Total_Use_Cases * R316</f>
        <v>0</v>
      </c>
      <c r="Q316" s="134">
        <f>Total_Use_Cases</f>
        <v>0</v>
      </c>
      <c r="R316" s="127">
        <v>5</v>
      </c>
      <c r="S316" s="157">
        <f>CEILING((IF(J316="Yes", 0, IF(H316="-",AA316,AA316+AA316*VLOOKUP(H316,BUFFERS_BY_TYPE,2,FALSE)))) +
   (IF(J316="Yes", 0, IF(H316="-",AA316,AA316+AA316*VLOOKUP(H316,BUFFERS_BY_TYPE,2,FALSE))))*VLOOKUP($S$5, SALES_CALL_SCALE_ARRAY, 2,FALSE),0.25)</f>
        <v>40.25</v>
      </c>
      <c r="T316" s="158"/>
      <c r="U316" s="21">
        <v>0</v>
      </c>
      <c r="V316" s="21">
        <v>1</v>
      </c>
      <c r="W316" s="21">
        <v>0</v>
      </c>
      <c r="X316" s="156">
        <v>35</v>
      </c>
      <c r="Y316" s="157">
        <f>CEILING((IF(P316=AS_DEV_EFFORT, DEV_EFFORT*Q316%,
                           IF(P316=AS_DURATION_EFFORT, (MANUAL_DURATION*5)*Q316%,
                                    (IF(Q316&lt;=1,X316,
                                          IF(SUM(U316:W316)=0,(Q316*X316),
                                               (((Q316*U316)*(X316+(X316*EXTRA_FOR_H)))+
                                               ((Q316*V316)*X316)+
                                               ((Q316*W316)*(X316-(X316*LESS_FOR_L)))
                                    )*IF(R316=0,1,R316))))))+Z316), 0.25)</f>
        <v>35</v>
      </c>
      <c r="Z316" s="22"/>
      <c r="AA316" s="157">
        <f>Y316+Y316*VLOOKUP(I316,EXTRAS_ARRAY,2,FALSE)</f>
        <v>35</v>
      </c>
      <c r="AB316" s="20"/>
      <c r="AC316" s="34"/>
      <c r="AD316" s="23" t="str">
        <f>IF(J316&lt;&gt;"Yes",
IF(S316&lt;=0,"Error: Effort value is not defined or is invalid.",
IF(AND(SUM(U316:W316)&gt;0,SUM(U316:W316)&lt;&gt;1),"Error: Complexity % distribution should sum to 100%.",
IF(AND(P316=AS_DEV_EFFORT,X316&lt;&gt;0),"Error: PDs should not be defined when defining as dev effort %.",
IF(AND(P316=AS_DURATION_EFFORT,X316&lt;&gt;0),"Error: PDs should not be defined when defining as duration effort %.","")))))</f>
        <v/>
      </c>
    </row>
    <row r="317" spans="1:30" ht="43.5" customHeight="1" outlineLevel="2" x14ac:dyDescent="0.35">
      <c r="A317" s="86" t="s">
        <v>52</v>
      </c>
      <c r="B317" s="18"/>
      <c r="C317" s="78"/>
      <c r="D317" s="78"/>
      <c r="E317" s="78"/>
      <c r="F317" s="79"/>
      <c r="G317" s="19" t="s">
        <v>59</v>
      </c>
      <c r="H317" s="19" t="s">
        <v>60</v>
      </c>
      <c r="I317" s="20" t="s">
        <v>59</v>
      </c>
      <c r="J317" s="19" t="s">
        <v>59</v>
      </c>
      <c r="K317" s="35"/>
      <c r="L317" s="19"/>
      <c r="M317" s="263">
        <f ca="1">IFERROR(OFFSET(M317,-1,,1,1)+0.1,OFFSET(M317,-1,-1,1,1)&amp;".1")</f>
        <v>2.4000000000000004</v>
      </c>
      <c r="N317" s="20" t="s">
        <v>353</v>
      </c>
      <c r="O317" s="20" t="s">
        <v>354</v>
      </c>
      <c r="P317" s="20"/>
      <c r="Q317" s="134"/>
      <c r="R317" s="127"/>
      <c r="S317" s="157">
        <f>CEILING((IF(J317="Yes", 0, IF(H317="-",AA317,AA317+AA317*VLOOKUP(H317,BUFFERS_BY_TYPE,2,FALSE)))) +
   (IF(J317="Yes", 0, IF(H317="-",AA317,AA317+AA317*VLOOKUP(H317,BUFFERS_BY_TYPE,2,FALSE))))*VLOOKUP($S$5, SALES_CALL_SCALE_ARRAY, 2,FALSE),0.25)</f>
        <v>5.5</v>
      </c>
      <c r="T317" s="158"/>
      <c r="U317" s="21">
        <v>0</v>
      </c>
      <c r="V317" s="21">
        <v>1</v>
      </c>
      <c r="W317" s="21">
        <v>0</v>
      </c>
      <c r="X317" s="156">
        <v>5</v>
      </c>
      <c r="Y317" s="157">
        <f>CEILING((IF(P317=AS_DEV_EFFORT, DEV_EFFORT*Q317%,
                           IF(P317=AS_DURATION_EFFORT, (MANUAL_DURATION*5)*Q317%,
                                    (IF(Q317&lt;=1,X317,
                                          IF(SUM(U317:W317)=0,(Q317*X317),
                                               (((Q317*U317)*(X317+(X317*EXTRA_FOR_H)))+
                                               ((Q317*V317)*X317)+
                                               ((Q317*W317)*(X317-(X317*LESS_FOR_L)))
                                    )*IF(R317=0,1,R317))))))+Z317), 0.25)</f>
        <v>5</v>
      </c>
      <c r="Z317" s="22"/>
      <c r="AA317" s="157">
        <f>Y317+Y317*VLOOKUP(I317,EXTRAS_ARRAY,2,FALSE)</f>
        <v>5</v>
      </c>
      <c r="AB317" s="20"/>
      <c r="AC317" s="34"/>
      <c r="AD317" s="23" t="str">
        <f>IF(J317&lt;&gt;"Yes",
IF(S317&lt;=0,"Error: Effort value is not defined or is invalid.",
IF(AND(SUM(U317:W317)&gt;0,SUM(U317:W317)&lt;&gt;1),"Error: Complexity % distribution should sum to 100%.",
IF(AND(P317=AS_DEV_EFFORT,X317&lt;&gt;0),"Error: PDs should not be defined when defining as dev effort %.",
IF(AND(P317=AS_DURATION_EFFORT,X317&lt;&gt;0),"Error: PDs should not be defined when defining as duration effort %.","")))))</f>
        <v/>
      </c>
    </row>
    <row r="318" spans="1:30" s="9" customFormat="1" ht="7.5" customHeight="1" outlineLevel="2" x14ac:dyDescent="0.35">
      <c r="A318" s="86" t="s">
        <v>70</v>
      </c>
      <c r="B318" s="15"/>
      <c r="C318" s="72"/>
      <c r="D318" s="72"/>
      <c r="E318" s="72"/>
      <c r="F318" s="72"/>
      <c r="M318" s="252"/>
      <c r="T318" s="15"/>
      <c r="X318" s="15"/>
      <c r="AB318" s="10"/>
      <c r="AC318" s="10"/>
      <c r="AD318" s="10"/>
    </row>
    <row r="319" spans="1:30" s="14" customFormat="1" ht="15.5" customHeight="1" outlineLevel="1" x14ac:dyDescent="0.35">
      <c r="A319" s="86" t="s">
        <v>55</v>
      </c>
      <c r="B319" s="18"/>
      <c r="C319" s="77"/>
      <c r="D319" s="77"/>
      <c r="E319" s="77"/>
      <c r="F319" s="76"/>
      <c r="G319" s="29"/>
      <c r="H319" s="29"/>
      <c r="I319" s="29"/>
      <c r="J319" s="29"/>
      <c r="K319" s="29"/>
      <c r="L319" s="17">
        <f ca="1">LOOKUP(1000,INDIRECT("L1:"&amp;CELL("address",INDIRECT("R[-1]C",FALSE))))+1</f>
        <v>3</v>
      </c>
      <c r="M319" s="287" t="s">
        <v>355</v>
      </c>
      <c r="N319" s="288"/>
      <c r="O319" s="5"/>
      <c r="P319" s="30"/>
      <c r="Q319" s="30"/>
      <c r="R319" s="30"/>
      <c r="S319" s="30"/>
      <c r="T319" s="155">
        <f>IF($S$6="Exclude", SUMIFS(S320:S323, J320:J323, "&lt;&gt;Yes", G320:G323, "&lt;&gt;Yes"), SUMIFS(S320:S323, J320:J323, "&lt;&gt;Yes"))</f>
        <v>13.75</v>
      </c>
      <c r="U319" s="30"/>
      <c r="V319" s="30"/>
      <c r="W319" s="30"/>
      <c r="X319" s="31"/>
      <c r="Y319" s="32"/>
      <c r="Z319" s="32"/>
      <c r="AA319" s="32"/>
      <c r="AB319" s="219"/>
      <c r="AC319" s="33"/>
      <c r="AD319" s="23" t="str">
        <f>IF(M319="", "Error: Task name cannot be empty.", "")</f>
        <v/>
      </c>
    </row>
    <row r="320" spans="1:30" s="12" customFormat="1" ht="1.5" customHeight="1" outlineLevel="2" x14ac:dyDescent="0.35">
      <c r="A320" s="86" t="s">
        <v>57</v>
      </c>
      <c r="B320" s="18"/>
      <c r="C320" s="77"/>
      <c r="D320" s="77"/>
      <c r="E320" s="77"/>
      <c r="F320" s="76"/>
      <c r="G320" s="29"/>
      <c r="H320" s="29"/>
      <c r="I320" s="29"/>
      <c r="J320" s="29"/>
      <c r="K320" s="29"/>
      <c r="L320" s="163">
        <f ca="1">L319</f>
        <v>3</v>
      </c>
      <c r="M320" s="164" t="s">
        <v>58</v>
      </c>
      <c r="N320" s="161"/>
      <c r="O320" s="162"/>
      <c r="P320" s="30"/>
      <c r="Q320" s="30"/>
      <c r="R320" s="30"/>
      <c r="S320" s="30"/>
      <c r="T320" s="155"/>
      <c r="U320" s="30"/>
      <c r="V320" s="30"/>
      <c r="W320" s="30"/>
      <c r="X320" s="31"/>
      <c r="Y320" s="32"/>
      <c r="Z320" s="32"/>
      <c r="AA320" s="32"/>
      <c r="AB320" s="33"/>
      <c r="AC320" s="33"/>
      <c r="AD320" s="23"/>
    </row>
    <row r="321" spans="1:30" ht="43.5" customHeight="1" outlineLevel="2" x14ac:dyDescent="0.35">
      <c r="A321" s="86" t="s">
        <v>52</v>
      </c>
      <c r="B321" s="18"/>
      <c r="C321" s="78"/>
      <c r="D321" s="78"/>
      <c r="E321" s="78"/>
      <c r="F321" s="79"/>
      <c r="G321" s="19" t="s">
        <v>59</v>
      </c>
      <c r="H321" s="19" t="s">
        <v>60</v>
      </c>
      <c r="I321" s="20" t="s">
        <v>59</v>
      </c>
      <c r="J321" s="19" t="s">
        <v>59</v>
      </c>
      <c r="K321" s="35"/>
      <c r="L321" s="19"/>
      <c r="M321" s="263" t="str">
        <f ca="1">IFERROR(OFFSET(M321,-1,,1,1)+0.1,OFFSET(M321,-1,-1,1,1)&amp;".1")</f>
        <v>3.1</v>
      </c>
      <c r="N321" s="20" t="s">
        <v>356</v>
      </c>
      <c r="O321" s="20" t="s">
        <v>357</v>
      </c>
      <c r="P321" s="20"/>
      <c r="Q321" s="134"/>
      <c r="R321" s="127"/>
      <c r="S321" s="157">
        <f>CEILING((IF(J321="Yes", 0, IF(H321="-",AA321,AA321+AA321*VLOOKUP(H321,BUFFERS_BY_TYPE,2,FALSE)))) +
   (IF(J321="Yes", 0, IF(H321="-",AA321,AA321+AA321*VLOOKUP(H321,BUFFERS_BY_TYPE,2,FALSE))))*VLOOKUP($S$5, SALES_CALL_SCALE_ARRAY, 2,FALSE),0.25)</f>
        <v>2.25</v>
      </c>
      <c r="T321" s="158"/>
      <c r="U321" s="21">
        <v>0</v>
      </c>
      <c r="V321" s="21">
        <v>1</v>
      </c>
      <c r="W321" s="21">
        <v>0</v>
      </c>
      <c r="X321" s="156">
        <v>2</v>
      </c>
      <c r="Y321" s="157">
        <f>CEILING((IF(P321=AS_DEV_EFFORT, DEV_EFFORT*Q321%,
                           IF(P321=AS_DURATION_EFFORT, (MANUAL_DURATION*5)*Q321%,
                                    (IF(Q321&lt;=1,X321,
                                          IF(SUM(U321:W321)=0,(Q321*X321),
                                               (((Q321*U321)*(X321+(X321*EXTRA_FOR_H)))+
                                               ((Q321*V321)*X321)+
                                               ((Q321*W321)*(X321-(X321*LESS_FOR_L)))
                                    )*IF(R321=0,1,R321))))))+Z321), 0.25)</f>
        <v>2</v>
      </c>
      <c r="Z321" s="22"/>
      <c r="AA321" s="157">
        <f>Y321+Y321*VLOOKUP(I321,EXTRAS_ARRAY,2,FALSE)</f>
        <v>2</v>
      </c>
      <c r="AB321" s="20"/>
      <c r="AC321" s="34"/>
      <c r="AD321" s="23" t="str">
        <f>IF(J321&lt;&gt;"Yes",
IF(S321&lt;=0,"Error: Effort value is not defined or is invalid.",
IF(AND(SUM(U321:W321)&gt;0,SUM(U321:W321)&lt;&gt;1),"Error: Complexity % distribution should sum to 100%.",
IF(AND(P321=AS_DEV_EFFORT,X321&lt;&gt;0),"Error: PDs should not be defined when defining as dev effort %.",
IF(AND(P321=AS_DURATION_EFFORT,X321&lt;&gt;0),"Error: PDs should not be defined when defining as duration effort %.","")))))</f>
        <v/>
      </c>
    </row>
    <row r="322" spans="1:30" ht="29" customHeight="1" outlineLevel="2" x14ac:dyDescent="0.35">
      <c r="A322" s="86" t="s">
        <v>52</v>
      </c>
      <c r="B322" s="18"/>
      <c r="C322" s="78"/>
      <c r="D322" s="78"/>
      <c r="E322" s="78"/>
      <c r="F322" s="79"/>
      <c r="G322" s="19" t="s">
        <v>59</v>
      </c>
      <c r="H322" s="19" t="s">
        <v>66</v>
      </c>
      <c r="I322" s="20" t="s">
        <v>59</v>
      </c>
      <c r="J322" s="19" t="s">
        <v>59</v>
      </c>
      <c r="K322" s="35" t="s">
        <v>358</v>
      </c>
      <c r="L322" s="19"/>
      <c r="M322" s="263">
        <f ca="1">IFERROR(OFFSET(M322,-1,,1,1)+0.1,OFFSET(M322,-1,-1,1,1)&amp;".1")</f>
        <v>3.2</v>
      </c>
      <c r="N322" s="20" t="s">
        <v>359</v>
      </c>
      <c r="O322" s="20" t="s">
        <v>360</v>
      </c>
      <c r="P322" s="251">
        <v>0.8</v>
      </c>
      <c r="Q322" s="134">
        <f>Total_Test_Cases * P322</f>
        <v>0</v>
      </c>
      <c r="R322" s="127"/>
      <c r="S322" s="157">
        <f>CEILING((IF(J322="Yes", 0, IF(H322="-",AA322,AA322+AA322*VLOOKUP(H322,BUFFERS_BY_TYPE,2,FALSE)))) +
   (IF(J322="Yes", 0, IF(H322="-",AA322,AA322+AA322*VLOOKUP(H322,BUFFERS_BY_TYPE,2,FALSE))))*VLOOKUP($S$5, SALES_CALL_SCALE_ARRAY, 2,FALSE),0.25)</f>
        <v>11.5</v>
      </c>
      <c r="T322" s="158"/>
      <c r="U322" s="21">
        <v>0</v>
      </c>
      <c r="V322" s="21">
        <v>1</v>
      </c>
      <c r="W322" s="21">
        <v>0</v>
      </c>
      <c r="X322" s="156">
        <v>10</v>
      </c>
      <c r="Y322" s="157">
        <f>CEILING((IF(P322=AS_DEV_EFFORT, DEV_EFFORT*Q322%,
                           IF(P322=AS_DURATION_EFFORT, (MANUAL_DURATION*5)*Q322%,
                                    (IF(Q322&lt;=1,X322,
                                          IF(SUM(U322:W322)=0,(Q322*X322),
                                               (((Q322*U322)*(X322+(X322*EXTRA_FOR_H)))+
                                               ((Q322*V322)*X322)+
                                               ((Q322*W322)*(X322-(X322*LESS_FOR_L)))
                                    )*IF(R322=0,1,R322))))))+Z322), 0.25)</f>
        <v>10</v>
      </c>
      <c r="Z322" s="22"/>
      <c r="AA322" s="157">
        <f>Y322+Y322*VLOOKUP(I322,EXTRAS_ARRAY,2,FALSE)</f>
        <v>10</v>
      </c>
      <c r="AB322" s="20"/>
      <c r="AC322" s="34"/>
      <c r="AD322" s="23" t="str">
        <f>IF(J322&lt;&gt;"Yes",
IF(S322&lt;=0,"Error: Effort value is not defined or is invalid.",
IF(AND(SUM(U322:W322)&gt;0,SUM(U322:W322)&lt;&gt;1),"Error: Complexity % distribution should sum to 100%.",
IF(AND(P322=AS_DEV_EFFORT,X322&lt;&gt;0),"Error: PDs should not be defined when defining as dev effort %.",
IF(AND(P322=AS_DURATION_EFFORT,X322&lt;&gt;0),"Error: PDs should not be defined when defining as duration effort %.","")))))</f>
        <v/>
      </c>
    </row>
    <row r="323" spans="1:30" s="9" customFormat="1" ht="7.5" customHeight="1" outlineLevel="2" x14ac:dyDescent="0.35">
      <c r="A323" s="86" t="s">
        <v>70</v>
      </c>
      <c r="B323" s="15"/>
      <c r="C323" s="72"/>
      <c r="D323" s="72"/>
      <c r="E323" s="72"/>
      <c r="F323" s="72"/>
      <c r="M323" s="252"/>
      <c r="T323" s="15"/>
      <c r="X323" s="15"/>
      <c r="AB323" s="10"/>
      <c r="AC323" s="10"/>
      <c r="AD323" s="10"/>
    </row>
    <row r="324" spans="1:30" s="14" customFormat="1" ht="15.5" customHeight="1" outlineLevel="1" x14ac:dyDescent="0.35">
      <c r="A324" s="86" t="s">
        <v>55</v>
      </c>
      <c r="B324" s="18"/>
      <c r="C324" s="77"/>
      <c r="D324" s="77"/>
      <c r="E324" s="77"/>
      <c r="F324" s="76"/>
      <c r="G324" s="29"/>
      <c r="H324" s="29"/>
      <c r="I324" s="29"/>
      <c r="J324" s="29"/>
      <c r="K324" s="29"/>
      <c r="L324" s="17">
        <f ca="1">LOOKUP(1000,INDIRECT("L1:"&amp;CELL("address",INDIRECT("R[-1]C",FALSE))))+1</f>
        <v>4</v>
      </c>
      <c r="M324" s="287" t="s">
        <v>361</v>
      </c>
      <c r="N324" s="288"/>
      <c r="O324" s="5"/>
      <c r="P324" s="30"/>
      <c r="Q324" s="30"/>
      <c r="R324" s="30"/>
      <c r="S324" s="30"/>
      <c r="T324" s="155">
        <f>IF($S$6="Exclude", SUMIFS(S325:S330, J325:J330, "&lt;&gt;Yes", G325:G330, "&lt;&gt;Yes"), SUMIFS(S325:S330, J325:J330, "&lt;&gt;Yes"))</f>
        <v>37</v>
      </c>
      <c r="U324" s="30"/>
      <c r="V324" s="30"/>
      <c r="W324" s="30"/>
      <c r="X324" s="31"/>
      <c r="Y324" s="32"/>
      <c r="Z324" s="32"/>
      <c r="AA324" s="32"/>
      <c r="AB324" s="219"/>
      <c r="AC324" s="33"/>
      <c r="AD324" s="23" t="str">
        <f>IF(M324="", "Error: Task name cannot be empty.", "")</f>
        <v/>
      </c>
    </row>
    <row r="325" spans="1:30" s="12" customFormat="1" ht="1.5" customHeight="1" outlineLevel="2" x14ac:dyDescent="0.35">
      <c r="A325" s="86" t="s">
        <v>57</v>
      </c>
      <c r="B325" s="18"/>
      <c r="C325" s="77"/>
      <c r="D325" s="77"/>
      <c r="E325" s="77"/>
      <c r="F325" s="76"/>
      <c r="G325" s="29"/>
      <c r="H325" s="29"/>
      <c r="I325" s="29"/>
      <c r="J325" s="29"/>
      <c r="K325" s="29"/>
      <c r="L325" s="163">
        <f ca="1">L324</f>
        <v>4</v>
      </c>
      <c r="M325" s="164" t="s">
        <v>58</v>
      </c>
      <c r="N325" s="161"/>
      <c r="O325" s="162"/>
      <c r="P325" s="30"/>
      <c r="Q325" s="30"/>
      <c r="R325" s="30"/>
      <c r="S325" s="30"/>
      <c r="T325" s="155"/>
      <c r="U325" s="30"/>
      <c r="V325" s="30"/>
      <c r="W325" s="30"/>
      <c r="X325" s="31"/>
      <c r="Y325" s="32"/>
      <c r="Z325" s="32"/>
      <c r="AA325" s="32"/>
      <c r="AB325" s="33"/>
      <c r="AC325" s="33"/>
      <c r="AD325" s="23"/>
    </row>
    <row r="326" spans="1:30" ht="43.5" customHeight="1" outlineLevel="2" x14ac:dyDescent="0.35">
      <c r="A326" s="86" t="s">
        <v>52</v>
      </c>
      <c r="B326" s="18"/>
      <c r="C326" s="78"/>
      <c r="D326" s="78"/>
      <c r="E326" s="78"/>
      <c r="F326" s="79"/>
      <c r="G326" s="19" t="s">
        <v>59</v>
      </c>
      <c r="H326" s="19" t="s">
        <v>66</v>
      </c>
      <c r="I326" s="20" t="s">
        <v>59</v>
      </c>
      <c r="J326" s="19" t="s">
        <v>59</v>
      </c>
      <c r="K326" s="35"/>
      <c r="L326" s="19"/>
      <c r="M326" s="263" t="str">
        <f ca="1">IFERROR(OFFSET(M326,-1,,1,1)+0.1,OFFSET(M326,-1,-1,1,1)&amp;".1")</f>
        <v>4.1</v>
      </c>
      <c r="N326" s="20" t="s">
        <v>362</v>
      </c>
      <c r="O326" s="20" t="s">
        <v>363</v>
      </c>
      <c r="P326" s="20" t="s">
        <v>364</v>
      </c>
      <c r="Q326" s="134">
        <v>2</v>
      </c>
      <c r="R326" s="127"/>
      <c r="S326" s="157">
        <f>CEILING((IF(J326="Yes", 0, IF(H326="-",AA326,AA326+AA326*VLOOKUP(H326,BUFFERS_BY_TYPE,2,FALSE)))) +
   (IF(J326="Yes", 0, IF(H326="-",AA326,AA326+AA326*VLOOKUP(H326,BUFFERS_BY_TYPE,2,FALSE))))*VLOOKUP($S$5, SALES_CALL_SCALE_ARRAY, 2,FALSE),0.25)</f>
        <v>7</v>
      </c>
      <c r="T326" s="158"/>
      <c r="U326" s="21">
        <v>0</v>
      </c>
      <c r="V326" s="21">
        <v>1</v>
      </c>
      <c r="W326" s="21">
        <v>0</v>
      </c>
      <c r="X326" s="156">
        <v>3</v>
      </c>
      <c r="Y326" s="157">
        <f>CEILING((IF(P326=AS_DEV_EFFORT, DEV_EFFORT*Q326%,
                           IF(P326=AS_DURATION_EFFORT, (MANUAL_DURATION*5)*Q326%,
                                    (IF(Q326&lt;=1,X326,
                                          IF(SUM(U326:W326)=0,(Q326*X326),
                                               (((Q326*U326)*(X326+(X326*EXTRA_FOR_H)))+
                                               ((Q326*V326)*X326)+
                                               ((Q326*W326)*(X326-(X326*LESS_FOR_L)))
                                    )*IF(R326=0,1,R326))))))+Z326), 0.25)</f>
        <v>6</v>
      </c>
      <c r="Z326" s="22"/>
      <c r="AA326" s="157">
        <f>Y326+Y326*VLOOKUP(I326,EXTRAS_ARRAY,2,FALSE)</f>
        <v>6</v>
      </c>
      <c r="AB326" s="20"/>
      <c r="AC326" s="34"/>
      <c r="AD326" s="23" t="str">
        <f>IF(J326&lt;&gt;"Yes",
IF(S326&lt;=0,"Error: Effort value is not defined or is invalid.",
IF(AND(SUM(U326:W326)&gt;0,SUM(U326:W326)&lt;&gt;1),"Error: Complexity % distribution should sum to 100%.",
IF(AND(P326=AS_DEV_EFFORT,X326&lt;&gt;0),"Error: PDs should not be defined when defining as dev effort %.",
IF(AND(P326=AS_DURATION_EFFORT,X326&lt;&gt;0),"Error: PDs should not be defined when defining as duration effort %.","")))))</f>
        <v/>
      </c>
    </row>
    <row r="327" spans="1:30" ht="29" customHeight="1" outlineLevel="2" x14ac:dyDescent="0.35">
      <c r="A327" s="86" t="s">
        <v>52</v>
      </c>
      <c r="B327" s="18"/>
      <c r="C327" s="78"/>
      <c r="D327" s="78"/>
      <c r="E327" s="78"/>
      <c r="F327" s="79"/>
      <c r="G327" s="19" t="s">
        <v>59</v>
      </c>
      <c r="H327" s="19" t="s">
        <v>60</v>
      </c>
      <c r="I327" s="20" t="s">
        <v>59</v>
      </c>
      <c r="J327" s="19" t="s">
        <v>59</v>
      </c>
      <c r="K327" s="35"/>
      <c r="L327" s="19"/>
      <c r="M327" s="263">
        <f ca="1">IFERROR(OFFSET(M327,-1,,1,1)+0.1,OFFSET(M327,-1,-1,1,1)&amp;".1")</f>
        <v>4.1999999999999993</v>
      </c>
      <c r="N327" s="20" t="s">
        <v>365</v>
      </c>
      <c r="O327" s="20" t="s">
        <v>366</v>
      </c>
      <c r="P327" s="20" t="s">
        <v>367</v>
      </c>
      <c r="Q327" s="134">
        <f>Total_Test_Cases * 15%</f>
        <v>0</v>
      </c>
      <c r="R327" s="127"/>
      <c r="S327" s="157">
        <f>CEILING((IF(J327="Yes", 0, IF(H327="-",AA327,AA327+AA327*VLOOKUP(H327,BUFFERS_BY_TYPE,2,FALSE)))) +
   (IF(J327="Yes", 0, IF(H327="-",AA327,AA327+AA327*VLOOKUP(H327,BUFFERS_BY_TYPE,2,FALSE))))*VLOOKUP($S$5, SALES_CALL_SCALE_ARRAY, 2,FALSE),0.25)</f>
        <v>22</v>
      </c>
      <c r="T327" s="158"/>
      <c r="U327" s="21">
        <v>0</v>
      </c>
      <c r="V327" s="21">
        <v>1</v>
      </c>
      <c r="W327" s="21">
        <v>0</v>
      </c>
      <c r="X327" s="156">
        <v>20</v>
      </c>
      <c r="Y327" s="157">
        <f>CEILING((IF(P327=AS_DEV_EFFORT, DEV_EFFORT*Q327%,
                           IF(P327=AS_DURATION_EFFORT, (MANUAL_DURATION*5)*Q327%,
                                    (IF(Q327&lt;=1,X327,
                                          IF(SUM(U327:W327)=0,(Q327*X327),
                                               (((Q327*U327)*(X327+(X327*EXTRA_FOR_H)))+
                                               ((Q327*V327)*X327)+
                                               ((Q327*W327)*(X327-(X327*LESS_FOR_L)))
                                    )*IF(R327=0,1,R327))))))+Z327), 0.25)</f>
        <v>20</v>
      </c>
      <c r="Z327" s="22"/>
      <c r="AA327" s="157">
        <f>Y327+Y327*VLOOKUP(I327,EXTRAS_ARRAY,2,FALSE)</f>
        <v>20</v>
      </c>
      <c r="AB327" s="20" t="s">
        <v>368</v>
      </c>
      <c r="AC327" s="34"/>
      <c r="AD327" s="23" t="str">
        <f>IF(J327&lt;&gt;"Yes",
IF(S327&lt;=0,"Error: Effort value is not defined or is invalid.",
IF(AND(SUM(U327:W327)&gt;0,SUM(U327:W327)&lt;&gt;1),"Error: Complexity % distribution should sum to 100%.",
IF(AND(P327=AS_DEV_EFFORT,X327&lt;&gt;0),"Error: PDs should not be defined when defining as dev effort %.",
IF(AND(P327=AS_DURATION_EFFORT,X327&lt;&gt;0),"Error: PDs should not be defined when defining as duration effort %.","")))))</f>
        <v/>
      </c>
    </row>
    <row r="328" spans="1:30" ht="15.5" customHeight="1" outlineLevel="2" x14ac:dyDescent="0.35">
      <c r="A328" s="86" t="s">
        <v>52</v>
      </c>
      <c r="B328" s="18"/>
      <c r="C328" s="78"/>
      <c r="D328" s="78"/>
      <c r="E328" s="78"/>
      <c r="F328" s="79"/>
      <c r="G328" s="19" t="s">
        <v>59</v>
      </c>
      <c r="H328" s="19" t="s">
        <v>66</v>
      </c>
      <c r="I328" s="20" t="s">
        <v>59</v>
      </c>
      <c r="J328" s="19" t="s">
        <v>59</v>
      </c>
      <c r="K328" s="35"/>
      <c r="L328" s="19"/>
      <c r="M328" s="263">
        <f ca="1">IFERROR(OFFSET(M328,-1,,1,1)+0.1,OFFSET(M328,-1,-1,1,1)&amp;".1")</f>
        <v>4.2999999999999989</v>
      </c>
      <c r="N328" s="20" t="s">
        <v>369</v>
      </c>
      <c r="O328" s="20" t="s">
        <v>370</v>
      </c>
      <c r="P328" s="20" t="s">
        <v>367</v>
      </c>
      <c r="Q328" s="134">
        <f>Total_Test_Cases * 15%</f>
        <v>0</v>
      </c>
      <c r="R328" s="127">
        <v>3</v>
      </c>
      <c r="S328" s="157">
        <f>CEILING((IF(J328="Yes", 0, IF(H328="-",AA328,AA328+AA328*VLOOKUP(H328,BUFFERS_BY_TYPE,2,FALSE)))) +
   (IF(J328="Yes", 0, IF(H328="-",AA328,AA328+AA328*VLOOKUP(H328,BUFFERS_BY_TYPE,2,FALSE))))*VLOOKUP($S$5, SALES_CALL_SCALE_ARRAY, 2,FALSE),0.25)</f>
        <v>5.75</v>
      </c>
      <c r="T328" s="158"/>
      <c r="U328" s="21">
        <v>0</v>
      </c>
      <c r="V328" s="21">
        <v>1</v>
      </c>
      <c r="W328" s="21">
        <v>0</v>
      </c>
      <c r="X328" s="156">
        <v>5</v>
      </c>
      <c r="Y328" s="157">
        <f>CEILING((IF(P328=AS_DEV_EFFORT, DEV_EFFORT*Q328%,
                           IF(P328=AS_DURATION_EFFORT, (MANUAL_DURATION*5)*Q328%,
                                    (IF(Q328&lt;=1,X328,
                                          IF(SUM(U328:W328)=0,(Q328*X328),
                                               (((Q328*U328)*(X328+(X328*EXTRA_FOR_H)))+
                                               ((Q328*V328)*X328)+
                                               ((Q328*W328)*(X328-(X328*LESS_FOR_L)))
                                    )*IF(R328=0,1,R328))))))+Z328), 0.25)</f>
        <v>5</v>
      </c>
      <c r="Z328" s="22"/>
      <c r="AA328" s="157">
        <f>Y328+Y328*VLOOKUP(I328,EXTRAS_ARRAY,2,FALSE)</f>
        <v>5</v>
      </c>
      <c r="AB328" s="20"/>
      <c r="AC328" s="34"/>
      <c r="AD328" s="23" t="str">
        <f>IF(J328&lt;&gt;"Yes",
IF(S328&lt;=0,"Error: Effort value is not defined or is invalid.",
IF(AND(SUM(U328:W328)&gt;0,SUM(U328:W328)&lt;&gt;1),"Error: Complexity % distribution should sum to 100%.",
IF(AND(P328=AS_DEV_EFFORT,X328&lt;&gt;0),"Error: PDs should not be defined when defining as dev effort %.",
IF(AND(P328=AS_DURATION_EFFORT,X328&lt;&gt;0),"Error: PDs should not be defined when defining as duration effort %.","")))))</f>
        <v/>
      </c>
    </row>
    <row r="329" spans="1:30" ht="43.5" customHeight="1" outlineLevel="2" x14ac:dyDescent="0.35">
      <c r="A329" s="86" t="s">
        <v>52</v>
      </c>
      <c r="B329" s="18"/>
      <c r="C329" s="78"/>
      <c r="D329" s="78"/>
      <c r="E329" s="78"/>
      <c r="F329" s="79"/>
      <c r="G329" s="19" t="s">
        <v>89</v>
      </c>
      <c r="H329" s="19" t="s">
        <v>60</v>
      </c>
      <c r="I329" s="20" t="s">
        <v>59</v>
      </c>
      <c r="J329" s="19" t="s">
        <v>59</v>
      </c>
      <c r="K329" s="35"/>
      <c r="L329" s="19"/>
      <c r="M329" s="263">
        <f ca="1">IFERROR(OFFSET(M329,-1,,1,1)+0.1,OFFSET(M329,-1,-1,1,1)&amp;".1")</f>
        <v>4.3999999999999986</v>
      </c>
      <c r="N329" s="20" t="s">
        <v>371</v>
      </c>
      <c r="O329" s="20" t="s">
        <v>372</v>
      </c>
      <c r="P329" s="20"/>
      <c r="Q329" s="134"/>
      <c r="R329" s="127"/>
      <c r="S329" s="157">
        <f>CEILING((IF(J329="Yes", 0, IF(H329="-",AA329,AA329+AA329*VLOOKUP(H329,BUFFERS_BY_TYPE,2,FALSE)))) +
   (IF(J329="Yes", 0, IF(H329="-",AA329,AA329+AA329*VLOOKUP(H329,BUFFERS_BY_TYPE,2,FALSE))))*VLOOKUP($S$5, SALES_CALL_SCALE_ARRAY, 2,FALSE),0.25)</f>
        <v>2.25</v>
      </c>
      <c r="T329" s="158"/>
      <c r="U329" s="21">
        <v>0</v>
      </c>
      <c r="V329" s="21">
        <v>1</v>
      </c>
      <c r="W329" s="21">
        <v>0</v>
      </c>
      <c r="X329" s="156">
        <v>2</v>
      </c>
      <c r="Y329" s="157">
        <f>CEILING((IF(P329=AS_DEV_EFFORT, DEV_EFFORT*Q329%,
                           IF(P329=AS_DURATION_EFFORT, (MANUAL_DURATION*5)*Q329%,
                                    (IF(Q329&lt;=1,X329,
                                          IF(SUM(U329:W329)=0,(Q329*X329),
                                               (((Q329*U329)*(X329+(X329*EXTRA_FOR_H)))+
                                               ((Q329*V329)*X329)+
                                               ((Q329*W329)*(X329-(X329*LESS_FOR_L)))
                                    )*IF(R329=0,1,R329))))))+Z329), 0.25)</f>
        <v>2</v>
      </c>
      <c r="Z329" s="22"/>
      <c r="AA329" s="157">
        <f>Y329+Y329*VLOOKUP(I329,EXTRAS_ARRAY,2,FALSE)</f>
        <v>2</v>
      </c>
      <c r="AB329" s="20"/>
      <c r="AC329" s="34"/>
      <c r="AD329" s="23" t="str">
        <f>IF(J329&lt;&gt;"Yes",
IF(S329&lt;=0,"Error: Effort value is not defined or is invalid.",
IF(AND(SUM(U329:W329)&gt;0,SUM(U329:W329)&lt;&gt;1),"Error: Complexity % distribution should sum to 100%.",
IF(AND(P329=AS_DEV_EFFORT,X329&lt;&gt;0),"Error: PDs should not be defined when defining as dev effort %.",
IF(AND(P329=AS_DURATION_EFFORT,X329&lt;&gt;0),"Error: PDs should not be defined when defining as duration effort %.","")))))</f>
        <v/>
      </c>
    </row>
    <row r="330" spans="1:30" s="9" customFormat="1" ht="7.5" customHeight="1" outlineLevel="2" x14ac:dyDescent="0.35">
      <c r="A330" s="86" t="s">
        <v>70</v>
      </c>
      <c r="B330" s="15"/>
      <c r="C330" s="72"/>
      <c r="D330" s="72"/>
      <c r="E330" s="72"/>
      <c r="F330" s="72"/>
      <c r="M330" s="252"/>
      <c r="T330" s="15"/>
      <c r="X330" s="15"/>
      <c r="AB330" s="10"/>
      <c r="AC330" s="10"/>
      <c r="AD330" s="10"/>
    </row>
    <row r="331" spans="1:30" s="9" customFormat="1" ht="3" customHeight="1" outlineLevel="1" x14ac:dyDescent="0.35">
      <c r="A331" s="86" t="s">
        <v>118</v>
      </c>
      <c r="C331" s="72"/>
      <c r="D331" s="72"/>
      <c r="E331" s="72"/>
      <c r="F331" s="72"/>
      <c r="G331" s="25"/>
      <c r="H331" s="25"/>
      <c r="I331" s="25"/>
      <c r="J331" s="25"/>
      <c r="K331" s="25"/>
      <c r="L331" s="56"/>
      <c r="M331" s="264"/>
      <c r="N331" s="57"/>
      <c r="O331" s="57"/>
      <c r="P331" s="56"/>
      <c r="Q331" s="56"/>
      <c r="R331" s="56"/>
      <c r="S331" s="56"/>
      <c r="T331" s="56"/>
      <c r="U331" s="56"/>
      <c r="V331" s="56"/>
      <c r="W331" s="56"/>
      <c r="X331" s="56"/>
      <c r="Y331" s="56"/>
      <c r="Z331" s="56"/>
      <c r="AA331" s="56"/>
      <c r="AB331" s="57"/>
      <c r="AC331" s="57"/>
      <c r="AD331" s="10"/>
    </row>
    <row r="332" spans="1:30" s="14" customFormat="1" ht="18.5" customHeight="1" x14ac:dyDescent="0.35">
      <c r="A332" s="86" t="s">
        <v>49</v>
      </c>
      <c r="B332" s="12"/>
      <c r="C332" s="73"/>
      <c r="D332" s="73"/>
      <c r="E332" s="73"/>
      <c r="F332" s="72"/>
      <c r="G332" s="52"/>
      <c r="H332" s="52"/>
      <c r="I332" s="52"/>
      <c r="J332" s="52"/>
      <c r="K332" s="52"/>
      <c r="L332" s="52" t="s">
        <v>373</v>
      </c>
      <c r="M332" s="261" t="s">
        <v>374</v>
      </c>
      <c r="N332" s="53"/>
      <c r="O332" s="54"/>
      <c r="P332" s="55"/>
      <c r="Q332" s="55"/>
      <c r="R332" s="55"/>
      <c r="S332" s="305">
        <f>CEILING(SUMIF(J333:J354, "&lt;&gt;Yes", T333:T354),1)</f>
        <v>75</v>
      </c>
      <c r="T332" s="292"/>
      <c r="U332" s="55"/>
      <c r="V332" s="55"/>
      <c r="W332" s="55"/>
      <c r="X332" s="55"/>
      <c r="Y332" s="55"/>
      <c r="Z332" s="55"/>
      <c r="AA332" s="55"/>
      <c r="AB332" s="55"/>
      <c r="AC332" s="55"/>
      <c r="AD332" s="13"/>
    </row>
    <row r="333" spans="1:30" s="9" customFormat="1" ht="3" customHeight="1" outlineLevel="1" x14ac:dyDescent="0.35">
      <c r="A333" s="86" t="s">
        <v>54</v>
      </c>
      <c r="B333" s="15"/>
      <c r="C333" s="72"/>
      <c r="D333" s="72"/>
      <c r="E333" s="72"/>
      <c r="F333" s="72"/>
      <c r="G333" s="25"/>
      <c r="H333" s="25"/>
      <c r="I333" s="25"/>
      <c r="J333" s="25"/>
      <c r="K333" s="25"/>
      <c r="L333" s="26">
        <v>0</v>
      </c>
      <c r="M333" s="262"/>
      <c r="N333" s="25"/>
      <c r="O333" s="25"/>
      <c r="P333" s="25"/>
      <c r="Q333" s="25"/>
      <c r="R333" s="25"/>
      <c r="S333" s="25"/>
      <c r="T333" s="27"/>
      <c r="U333" s="25"/>
      <c r="V333" s="25"/>
      <c r="W333" s="25"/>
      <c r="X333" s="27"/>
      <c r="Y333" s="25"/>
      <c r="Z333" s="25"/>
      <c r="AA333" s="25"/>
      <c r="AB333" s="28"/>
      <c r="AC333" s="28"/>
      <c r="AD333" s="10"/>
    </row>
    <row r="334" spans="1:30" s="14" customFormat="1" ht="15.5" customHeight="1" outlineLevel="1" x14ac:dyDescent="0.35">
      <c r="A334" s="86" t="s">
        <v>55</v>
      </c>
      <c r="B334" s="18"/>
      <c r="C334" s="77"/>
      <c r="D334" s="77"/>
      <c r="E334" s="77"/>
      <c r="F334" s="76"/>
      <c r="G334" s="29"/>
      <c r="H334" s="29"/>
      <c r="I334" s="29"/>
      <c r="J334" s="29"/>
      <c r="K334" s="29"/>
      <c r="L334" s="17">
        <f ca="1">LOOKUP(1000,INDIRECT("L1:"&amp;CELL("address",INDIRECT("R[-1]C",FALSE))))+1</f>
        <v>1</v>
      </c>
      <c r="M334" s="287" t="s">
        <v>375</v>
      </c>
      <c r="N334" s="288"/>
      <c r="O334" s="5"/>
      <c r="P334" s="30"/>
      <c r="Q334" s="30"/>
      <c r="R334" s="30"/>
      <c r="S334" s="30"/>
      <c r="T334" s="155">
        <f>IF($S$6="Exclude", SUMIFS(S335:S338, J335:J338, "&lt;&gt;Yes", G335:G338, "&lt;&gt;Yes"), SUMIFS(S335:S338, J335:J338, "&lt;&gt;Yes"))</f>
        <v>25.5</v>
      </c>
      <c r="U334" s="30"/>
      <c r="V334" s="30"/>
      <c r="W334" s="30"/>
      <c r="X334" s="31"/>
      <c r="Y334" s="32"/>
      <c r="Z334" s="32"/>
      <c r="AA334" s="32"/>
      <c r="AB334" s="219"/>
      <c r="AC334" s="33"/>
      <c r="AD334" s="23" t="str">
        <f>IF(M334="", "Error: Task name cannot be empty.", "")</f>
        <v/>
      </c>
    </row>
    <row r="335" spans="1:30" s="12" customFormat="1" ht="1.5" customHeight="1" outlineLevel="2" x14ac:dyDescent="0.35">
      <c r="A335" s="86" t="s">
        <v>57</v>
      </c>
      <c r="B335" s="18"/>
      <c r="C335" s="77"/>
      <c r="D335" s="77"/>
      <c r="E335" s="77"/>
      <c r="F335" s="76"/>
      <c r="G335" s="29"/>
      <c r="H335" s="29"/>
      <c r="I335" s="29"/>
      <c r="J335" s="29"/>
      <c r="K335" s="29"/>
      <c r="L335" s="163">
        <f ca="1">L334</f>
        <v>1</v>
      </c>
      <c r="M335" s="164" t="s">
        <v>58</v>
      </c>
      <c r="N335" s="161"/>
      <c r="O335" s="162"/>
      <c r="P335" s="30"/>
      <c r="Q335" s="30"/>
      <c r="R335" s="30"/>
      <c r="S335" s="30"/>
      <c r="T335" s="155"/>
      <c r="U335" s="30"/>
      <c r="V335" s="30"/>
      <c r="W335" s="30"/>
      <c r="X335" s="31"/>
      <c r="Y335" s="32"/>
      <c r="Z335" s="32"/>
      <c r="AA335" s="32"/>
      <c r="AB335" s="33"/>
      <c r="AC335" s="33"/>
      <c r="AD335" s="23"/>
    </row>
    <row r="336" spans="1:30" ht="43.5" customHeight="1" outlineLevel="2" x14ac:dyDescent="0.35">
      <c r="A336" s="86" t="s">
        <v>52</v>
      </c>
      <c r="B336" s="18"/>
      <c r="C336" s="78"/>
      <c r="D336" s="78"/>
      <c r="E336" s="78"/>
      <c r="F336" s="79"/>
      <c r="G336" s="19" t="s">
        <v>59</v>
      </c>
      <c r="H336" s="19" t="s">
        <v>60</v>
      </c>
      <c r="I336" s="20" t="s">
        <v>59</v>
      </c>
      <c r="J336" s="19" t="s">
        <v>59</v>
      </c>
      <c r="K336" s="35"/>
      <c r="L336" s="19"/>
      <c r="M336" s="263" t="str">
        <f ca="1">IFERROR(OFFSET(M336,-1,,1,1)+0.1,OFFSET(M336,-1,-1,1,1)&amp;".1")</f>
        <v>1.1</v>
      </c>
      <c r="N336" s="20" t="s">
        <v>376</v>
      </c>
      <c r="O336" s="20" t="s">
        <v>377</v>
      </c>
      <c r="P336" s="20" t="s">
        <v>378</v>
      </c>
      <c r="Q336" s="134">
        <v>15</v>
      </c>
      <c r="R336" s="127"/>
      <c r="S336" s="157">
        <f>CEILING((IF(J336="Yes", 0, IF(H336="-",AA336,AA336+AA336*VLOOKUP(H336,BUFFERS_BY_TYPE,2,FALSE)))) +
   (IF(J336="Yes", 0, IF(H336="-",AA336,AA336+AA336*VLOOKUP(H336,BUFFERS_BY_TYPE,2,FALSE))))*VLOOKUP($S$5, SALES_CALL_SCALE_ARRAY, 2,FALSE),0.25)</f>
        <v>16.5</v>
      </c>
      <c r="T336" s="158"/>
      <c r="U336" s="21">
        <v>0</v>
      </c>
      <c r="V336" s="21">
        <v>1</v>
      </c>
      <c r="W336" s="21">
        <v>0</v>
      </c>
      <c r="X336" s="156">
        <v>1</v>
      </c>
      <c r="Y336" s="157">
        <f>CEILING((IF(P336=AS_DEV_EFFORT, DEV_EFFORT*Q336%,
                           IF(P336=AS_DURATION_EFFORT, (MANUAL_DURATION*5)*Q336%,
                                    (IF(Q336&lt;=1,X336,
                                          IF(SUM(U336:W336)=0,(Q336*X336),
                                               (((Q336*U336)*(X336+(X336*EXTRA_FOR_H)))+
                                               ((Q336*V336)*X336)+
                                               ((Q336*W336)*(X336-(X336*LESS_FOR_L)))
                                    )*IF(R336=0,1,R336))))))+Z336), 0.25)</f>
        <v>15</v>
      </c>
      <c r="Z336" s="22"/>
      <c r="AA336" s="157">
        <f>Y336+Y336*VLOOKUP(I336,EXTRAS_ARRAY,2,FALSE)</f>
        <v>15</v>
      </c>
      <c r="AB336" s="20"/>
      <c r="AC336" s="34"/>
      <c r="AD336" s="23" t="str">
        <f>IF(J336&lt;&gt;"Yes",
IF(S336&lt;=0,"Error: Effort value is not defined or is invalid.",
IF(AND(SUM(U336:W336)&gt;0,SUM(U336:W336)&lt;&gt;1),"Error: Complexity % distribution should sum to 100%.",
IF(AND(P336=AS_DEV_EFFORT,X336&lt;&gt;0),"Error: PDs should not be defined when defining as dev effort %.",
IF(AND(P336=AS_DURATION_EFFORT,X336&lt;&gt;0),"Error: PDs should not be defined when defining as duration effort %.","")))))</f>
        <v/>
      </c>
    </row>
    <row r="337" spans="1:30" ht="43.5" customHeight="1" outlineLevel="2" x14ac:dyDescent="0.35">
      <c r="A337" s="86" t="s">
        <v>52</v>
      </c>
      <c r="B337" s="18"/>
      <c r="C337" s="78"/>
      <c r="D337" s="78"/>
      <c r="E337" s="78"/>
      <c r="F337" s="79"/>
      <c r="G337" s="19" t="s">
        <v>59</v>
      </c>
      <c r="H337" s="19" t="s">
        <v>60</v>
      </c>
      <c r="I337" s="20" t="s">
        <v>59</v>
      </c>
      <c r="J337" s="19" t="s">
        <v>59</v>
      </c>
      <c r="K337" s="35"/>
      <c r="L337" s="19"/>
      <c r="M337" s="263">
        <f ca="1">IFERROR(OFFSET(M337,-1,,1,1)+0.1,OFFSET(M337,-1,-1,1,1)&amp;".1")</f>
        <v>1.2000000000000002</v>
      </c>
      <c r="N337" s="20" t="s">
        <v>379</v>
      </c>
      <c r="O337" s="20" t="s">
        <v>380</v>
      </c>
      <c r="P337" s="20" t="s">
        <v>381</v>
      </c>
      <c r="Q337" s="134">
        <v>8</v>
      </c>
      <c r="R337" s="127"/>
      <c r="S337" s="157">
        <f>CEILING((IF(J337="Yes", 0, IF(H337="-",AA337,AA337+AA337*VLOOKUP(H337,BUFFERS_BY_TYPE,2,FALSE)))) +
   (IF(J337="Yes", 0, IF(H337="-",AA337,AA337+AA337*VLOOKUP(H337,BUFFERS_BY_TYPE,2,FALSE))))*VLOOKUP($S$5, SALES_CALL_SCALE_ARRAY, 2,FALSE),0.25)</f>
        <v>9</v>
      </c>
      <c r="T337" s="158"/>
      <c r="U337" s="21">
        <v>0</v>
      </c>
      <c r="V337" s="21">
        <v>1</v>
      </c>
      <c r="W337" s="21">
        <v>0</v>
      </c>
      <c r="X337" s="156">
        <v>1</v>
      </c>
      <c r="Y337" s="157">
        <f>CEILING((IF(P337=AS_DEV_EFFORT, DEV_EFFORT*Q337%,
                           IF(P337=AS_DURATION_EFFORT, (MANUAL_DURATION*5)*Q337%,
                                    (IF(Q337&lt;=1,X337,
                                          IF(SUM(U337:W337)=0,(Q337*X337),
                                               (((Q337*U337)*(X337+(X337*EXTRA_FOR_H)))+
                                               ((Q337*V337)*X337)+
                                               ((Q337*W337)*(X337-(X337*LESS_FOR_L)))
                                    )*IF(R337=0,1,R337))))))+Z337), 0.25)</f>
        <v>8</v>
      </c>
      <c r="Z337" s="22"/>
      <c r="AA337" s="157">
        <f>Y337+Y337*VLOOKUP(I337,EXTRAS_ARRAY,2,FALSE)</f>
        <v>8</v>
      </c>
      <c r="AB337" s="20"/>
      <c r="AC337" s="34"/>
      <c r="AD337" s="23" t="str">
        <f>IF(J337&lt;&gt;"Yes",
IF(S337&lt;=0,"Error: Effort value is not defined or is invalid.",
IF(AND(SUM(U337:W337)&gt;0,SUM(U337:W337)&lt;&gt;1),"Error: Complexity % distribution should sum to 100%.",
IF(AND(P337=AS_DEV_EFFORT,X337&lt;&gt;0),"Error: PDs should not be defined when defining as dev effort %.",
IF(AND(P337=AS_DURATION_EFFORT,X337&lt;&gt;0),"Error: PDs should not be defined when defining as duration effort %.","")))))</f>
        <v/>
      </c>
    </row>
    <row r="338" spans="1:30" s="9" customFormat="1" ht="7.5" customHeight="1" outlineLevel="2" x14ac:dyDescent="0.35">
      <c r="A338" s="86" t="s">
        <v>70</v>
      </c>
      <c r="B338" s="15"/>
      <c r="C338" s="72"/>
      <c r="D338" s="72"/>
      <c r="E338" s="72"/>
      <c r="F338" s="72"/>
      <c r="M338" s="252"/>
      <c r="T338" s="15"/>
      <c r="X338" s="15"/>
      <c r="AB338" s="10"/>
      <c r="AC338" s="10"/>
      <c r="AD338" s="10"/>
    </row>
    <row r="339" spans="1:30" s="14" customFormat="1" ht="15.5" customHeight="1" outlineLevel="1" x14ac:dyDescent="0.35">
      <c r="A339" s="86" t="s">
        <v>55</v>
      </c>
      <c r="B339" s="18"/>
      <c r="C339" s="77"/>
      <c r="D339" s="77"/>
      <c r="E339" s="77"/>
      <c r="F339" s="76"/>
      <c r="G339" s="29"/>
      <c r="H339" s="29"/>
      <c r="I339" s="29"/>
      <c r="J339" s="29"/>
      <c r="K339" s="29"/>
      <c r="L339" s="17">
        <f ca="1">LOOKUP(1000,INDIRECT("L1:"&amp;CELL("address",INDIRECT("R[-1]C",FALSE))))+1</f>
        <v>2</v>
      </c>
      <c r="M339" s="287" t="s">
        <v>382</v>
      </c>
      <c r="N339" s="288"/>
      <c r="O339" s="5"/>
      <c r="P339" s="30"/>
      <c r="Q339" s="30"/>
      <c r="R339" s="30"/>
      <c r="S339" s="30"/>
      <c r="T339" s="155">
        <f>IF($S$6="Exclude", SUMIFS(S340:S342, J340:J342, "&lt;&gt;Yes", G340:G342, "&lt;&gt;Yes"), SUMIFS(S340:S342, J340:J342, "&lt;&gt;Yes"))</f>
        <v>27.75</v>
      </c>
      <c r="U339" s="30"/>
      <c r="V339" s="30"/>
      <c r="W339" s="30"/>
      <c r="X339" s="31"/>
      <c r="Y339" s="32"/>
      <c r="Z339" s="32"/>
      <c r="AA339" s="32"/>
      <c r="AB339" s="219"/>
      <c r="AC339" s="33"/>
      <c r="AD339" s="23" t="str">
        <f>IF(M339="", "Error: Task name cannot be empty.", "")</f>
        <v/>
      </c>
    </row>
    <row r="340" spans="1:30" s="12" customFormat="1" ht="1.5" customHeight="1" outlineLevel="2" x14ac:dyDescent="0.35">
      <c r="A340" s="86" t="s">
        <v>57</v>
      </c>
      <c r="B340" s="18"/>
      <c r="C340" s="77"/>
      <c r="D340" s="77"/>
      <c r="E340" s="77"/>
      <c r="F340" s="76"/>
      <c r="G340" s="29"/>
      <c r="H340" s="29"/>
      <c r="I340" s="29"/>
      <c r="J340" s="29"/>
      <c r="K340" s="29"/>
      <c r="L340" s="163">
        <f ca="1">L339</f>
        <v>2</v>
      </c>
      <c r="M340" s="164" t="s">
        <v>58</v>
      </c>
      <c r="N340" s="161"/>
      <c r="O340" s="162"/>
      <c r="P340" s="30"/>
      <c r="Q340" s="30"/>
      <c r="R340" s="30"/>
      <c r="S340" s="30"/>
      <c r="T340" s="155"/>
      <c r="U340" s="30"/>
      <c r="V340" s="30"/>
      <c r="W340" s="30"/>
      <c r="X340" s="31"/>
      <c r="Y340" s="32"/>
      <c r="Z340" s="32"/>
      <c r="AA340" s="32"/>
      <c r="AB340" s="33"/>
      <c r="AC340" s="33"/>
      <c r="AD340" s="23"/>
    </row>
    <row r="341" spans="1:30" ht="58" customHeight="1" outlineLevel="2" x14ac:dyDescent="0.35">
      <c r="A341" s="86" t="s">
        <v>52</v>
      </c>
      <c r="B341" s="18"/>
      <c r="C341" s="78"/>
      <c r="D341" s="78"/>
      <c r="E341" s="78"/>
      <c r="F341" s="79"/>
      <c r="G341" s="19" t="s">
        <v>59</v>
      </c>
      <c r="H341" s="19" t="s">
        <v>66</v>
      </c>
      <c r="I341" s="20" t="s">
        <v>59</v>
      </c>
      <c r="J341" s="19" t="s">
        <v>59</v>
      </c>
      <c r="K341" s="35"/>
      <c r="L341" s="19"/>
      <c r="M341" s="263" t="str">
        <f ca="1">IFERROR(OFFSET(M341,-1,,1,1)+0.1,OFFSET(M341,-1,-1,1,1)&amp;".1")</f>
        <v>2.1</v>
      </c>
      <c r="N341" s="20" t="s">
        <v>383</v>
      </c>
      <c r="O341" s="20" t="s">
        <v>384</v>
      </c>
      <c r="P341" s="20" t="s">
        <v>385</v>
      </c>
      <c r="Q341" s="134">
        <v>2</v>
      </c>
      <c r="R341" s="127">
        <v>4</v>
      </c>
      <c r="S341" s="157">
        <f>CEILING((IF(J341="Yes", 0, IF(H341="-",AA341,AA341+AA341*VLOOKUP(H341,BUFFERS_BY_TYPE,2,FALSE)))) +
   (IF(J341="Yes", 0, IF(H341="-",AA341,AA341+AA341*VLOOKUP(H341,BUFFERS_BY_TYPE,2,FALSE))))*VLOOKUP($S$5, SALES_CALL_SCALE_ARRAY, 2,FALSE),0.25)</f>
        <v>27.75</v>
      </c>
      <c r="T341" s="158"/>
      <c r="U341" s="21">
        <v>0</v>
      </c>
      <c r="V341" s="21">
        <v>1</v>
      </c>
      <c r="W341" s="21">
        <v>0</v>
      </c>
      <c r="X341" s="156">
        <v>3</v>
      </c>
      <c r="Y341" s="157">
        <f>CEILING((IF(P341=AS_DEV_EFFORT, DEV_EFFORT*Q341%,
                           IF(P341=AS_DURATION_EFFORT, (MANUAL_DURATION*5)*Q341%,
                                    (IF(Q341&lt;=1,X341,
                                          IF(SUM(U341:W341)=0,(Q341*X341),
                                               (((Q341*U341)*(X341+(X341*EXTRA_FOR_H)))+
                                               ((Q341*V341)*X341)+
                                               ((Q341*W341)*(X341-(X341*LESS_FOR_L)))
                                    )*IF(R341=0,1,R341))))))+Z341), 0.25)</f>
        <v>24</v>
      </c>
      <c r="Z341" s="22"/>
      <c r="AA341" s="157">
        <f>Y341+Y341*VLOOKUP(I341,EXTRAS_ARRAY,2,FALSE)</f>
        <v>24</v>
      </c>
      <c r="AB341" s="20" t="s">
        <v>386</v>
      </c>
      <c r="AC341" s="34"/>
      <c r="AD341" s="23" t="str">
        <f>IF(J341&lt;&gt;"Yes",
IF(S341&lt;=0,"Error: Effort value is not defined or is invalid.",
IF(AND(SUM(U341:W341)&gt;0,SUM(U341:W341)&lt;&gt;1),"Error: Complexity % distribution should sum to 100%.",
IF(AND(P341=AS_DEV_EFFORT,X341&lt;&gt;0),"Error: PDs should not be defined when defining as dev effort %.",
IF(AND(P341=AS_DURATION_EFFORT,X341&lt;&gt;0),"Error: PDs should not be defined when defining as duration effort %.","")))))</f>
        <v/>
      </c>
    </row>
    <row r="342" spans="1:30" s="9" customFormat="1" ht="7.5" customHeight="1" outlineLevel="2" x14ac:dyDescent="0.35">
      <c r="A342" s="86" t="s">
        <v>70</v>
      </c>
      <c r="B342" s="15"/>
      <c r="C342" s="72"/>
      <c r="D342" s="72"/>
      <c r="E342" s="72"/>
      <c r="F342" s="72"/>
      <c r="M342" s="252"/>
      <c r="T342" s="15"/>
      <c r="X342" s="15"/>
      <c r="AB342" s="10"/>
      <c r="AC342" s="10"/>
      <c r="AD342" s="10"/>
    </row>
    <row r="343" spans="1:30" s="14" customFormat="1" ht="15.5" customHeight="1" outlineLevel="1" x14ac:dyDescent="0.35">
      <c r="A343" s="86" t="s">
        <v>55</v>
      </c>
      <c r="B343" s="18"/>
      <c r="C343" s="77"/>
      <c r="D343" s="77"/>
      <c r="E343" s="77"/>
      <c r="F343" s="76"/>
      <c r="G343" s="29"/>
      <c r="H343" s="29"/>
      <c r="I343" s="29"/>
      <c r="J343" s="29"/>
      <c r="K343" s="29"/>
      <c r="L343" s="17">
        <f ca="1">LOOKUP(1000,INDIRECT("L1:"&amp;CELL("address",INDIRECT("R[-1]C",FALSE))))+1</f>
        <v>3</v>
      </c>
      <c r="M343" s="287" t="s">
        <v>387</v>
      </c>
      <c r="N343" s="288"/>
      <c r="O343" s="5"/>
      <c r="P343" s="30"/>
      <c r="Q343" s="30"/>
      <c r="R343" s="30"/>
      <c r="S343" s="30"/>
      <c r="T343" s="155">
        <f>IF($S$6="Exclude", SUMIFS(S344:S346, J344:J346, "&lt;&gt;Yes", G344:G346, "&lt;&gt;Yes"), SUMIFS(S344:S346, J344:J346, "&lt;&gt;Yes"))</f>
        <v>3.5</v>
      </c>
      <c r="U343" s="30"/>
      <c r="V343" s="30"/>
      <c r="W343" s="30"/>
      <c r="X343" s="31"/>
      <c r="Y343" s="32"/>
      <c r="Z343" s="32"/>
      <c r="AA343" s="32"/>
      <c r="AB343" s="219"/>
      <c r="AC343" s="33"/>
      <c r="AD343" s="23" t="str">
        <f>IF(M343="", "Error: Task name cannot be empty.", "")</f>
        <v/>
      </c>
    </row>
    <row r="344" spans="1:30" s="12" customFormat="1" ht="1.5" customHeight="1" outlineLevel="2" x14ac:dyDescent="0.35">
      <c r="A344" s="86" t="s">
        <v>57</v>
      </c>
      <c r="B344" s="18"/>
      <c r="C344" s="77"/>
      <c r="D344" s="77"/>
      <c r="E344" s="77"/>
      <c r="F344" s="76"/>
      <c r="G344" s="29"/>
      <c r="H344" s="29"/>
      <c r="I344" s="29"/>
      <c r="J344" s="29"/>
      <c r="K344" s="29"/>
      <c r="L344" s="163">
        <f ca="1">L343</f>
        <v>3</v>
      </c>
      <c r="M344" s="164" t="s">
        <v>58</v>
      </c>
      <c r="N344" s="161"/>
      <c r="O344" s="162"/>
      <c r="P344" s="30"/>
      <c r="Q344" s="30"/>
      <c r="R344" s="30"/>
      <c r="S344" s="30"/>
      <c r="T344" s="155"/>
      <c r="U344" s="30"/>
      <c r="V344" s="30"/>
      <c r="W344" s="30"/>
      <c r="X344" s="31"/>
      <c r="Y344" s="32"/>
      <c r="Z344" s="32"/>
      <c r="AA344" s="32"/>
      <c r="AB344" s="33"/>
      <c r="AC344" s="33"/>
      <c r="AD344" s="23"/>
    </row>
    <row r="345" spans="1:30" ht="43.5" customHeight="1" outlineLevel="2" x14ac:dyDescent="0.35">
      <c r="A345" s="86" t="s">
        <v>52</v>
      </c>
      <c r="B345" s="18"/>
      <c r="C345" s="78"/>
      <c r="D345" s="78"/>
      <c r="E345" s="78"/>
      <c r="F345" s="79"/>
      <c r="G345" s="19" t="s">
        <v>59</v>
      </c>
      <c r="H345" s="19" t="s">
        <v>66</v>
      </c>
      <c r="I345" s="20" t="s">
        <v>59</v>
      </c>
      <c r="J345" s="19" t="s">
        <v>59</v>
      </c>
      <c r="K345" s="35"/>
      <c r="L345" s="19"/>
      <c r="M345" s="263" t="str">
        <f ca="1">IFERROR(OFFSET(M345,-1,,1,1)+0.1,OFFSET(M345,-1,-1,1,1)&amp;".1")</f>
        <v>3.1</v>
      </c>
      <c r="N345" s="20" t="s">
        <v>388</v>
      </c>
      <c r="O345" s="20" t="s">
        <v>389</v>
      </c>
      <c r="P345" s="20" t="s">
        <v>385</v>
      </c>
      <c r="Q345" s="134">
        <v>1</v>
      </c>
      <c r="R345" s="127">
        <v>2</v>
      </c>
      <c r="S345" s="157">
        <f>CEILING((IF(J345="Yes", 0, IF(H345="-",AA345,AA345+AA345*VLOOKUP(H345,BUFFERS_BY_TYPE,2,FALSE)))) +
   (IF(J345="Yes", 0, IF(H345="-",AA345,AA345+AA345*VLOOKUP(H345,BUFFERS_BY_TYPE,2,FALSE))))*VLOOKUP($S$5, SALES_CALL_SCALE_ARRAY, 2,FALSE),0.25)</f>
        <v>3.5</v>
      </c>
      <c r="T345" s="158"/>
      <c r="U345" s="21">
        <v>0</v>
      </c>
      <c r="V345" s="21">
        <v>1</v>
      </c>
      <c r="W345" s="21">
        <v>0</v>
      </c>
      <c r="X345" s="156">
        <v>3</v>
      </c>
      <c r="Y345" s="157">
        <f>CEILING((IF(P345=AS_DEV_EFFORT, DEV_EFFORT*Q345%,
                           IF(P345=AS_DURATION_EFFORT, (MANUAL_DURATION*5)*Q345%,
                                    (IF(Q345&lt;=1,X345,
                                          IF(SUM(U345:W345)=0,(Q345*X345),
                                               (((Q345*U345)*(X345+(X345*EXTRA_FOR_H)))+
                                               ((Q345*V345)*X345)+
                                               ((Q345*W345)*(X345-(X345*LESS_FOR_L)))
                                    )*IF(R345=0,1,R345))))))+Z345), 0.25)</f>
        <v>3</v>
      </c>
      <c r="Z345" s="22"/>
      <c r="AA345" s="157">
        <f>Y345+Y345*VLOOKUP(I345,EXTRAS_ARRAY,2,FALSE)</f>
        <v>3</v>
      </c>
      <c r="AB345" s="20" t="s">
        <v>390</v>
      </c>
      <c r="AC345" s="34"/>
      <c r="AD345" s="23" t="str">
        <f>IF(J345&lt;&gt;"Yes",
IF(S345&lt;=0,"Error: Effort value is not defined or is invalid.",
IF(AND(SUM(U345:W345)&gt;0,SUM(U345:W345)&lt;&gt;1),"Error: Complexity % distribution should sum to 100%.",
IF(AND(P345=AS_DEV_EFFORT,X345&lt;&gt;0),"Error: PDs should not be defined when defining as dev effort %.",
IF(AND(P345=AS_DURATION_EFFORT,X345&lt;&gt;0),"Error: PDs should not be defined when defining as duration effort %.","")))))</f>
        <v/>
      </c>
    </row>
    <row r="346" spans="1:30" s="9" customFormat="1" ht="7.5" customHeight="1" outlineLevel="2" x14ac:dyDescent="0.35">
      <c r="A346" s="86" t="s">
        <v>70</v>
      </c>
      <c r="B346" s="15"/>
      <c r="C346" s="72"/>
      <c r="D346" s="72"/>
      <c r="E346" s="72"/>
      <c r="F346" s="72"/>
      <c r="M346" s="252"/>
      <c r="T346" s="15"/>
      <c r="X346" s="15"/>
      <c r="AB346" s="10"/>
      <c r="AC346" s="10"/>
      <c r="AD346" s="10"/>
    </row>
    <row r="347" spans="1:30" s="14" customFormat="1" ht="15.5" customHeight="1" outlineLevel="1" x14ac:dyDescent="0.35">
      <c r="A347" s="86" t="s">
        <v>55</v>
      </c>
      <c r="B347" s="18"/>
      <c r="C347" s="77"/>
      <c r="D347" s="77"/>
      <c r="E347" s="77"/>
      <c r="F347" s="76"/>
      <c r="G347" s="29"/>
      <c r="H347" s="29"/>
      <c r="I347" s="29"/>
      <c r="J347" s="29"/>
      <c r="K347" s="29"/>
      <c r="L347" s="17">
        <f ca="1">LOOKUP(1000,INDIRECT("L1:"&amp;CELL("address",INDIRECT("R[-1]C",FALSE))))+1</f>
        <v>4</v>
      </c>
      <c r="M347" s="287" t="s">
        <v>391</v>
      </c>
      <c r="N347" s="288"/>
      <c r="O347" s="5"/>
      <c r="P347" s="30"/>
      <c r="Q347" s="30"/>
      <c r="R347" s="30"/>
      <c r="S347" s="30"/>
      <c r="T347" s="155">
        <f>IF($S$6="Exclude", SUMIFS(S348:S353, J348:J353, "&lt;&gt;Yes", G348:G353, "&lt;&gt;Yes"), SUMIFS(S348:S353, J348:J353, "&lt;&gt;Yes"))</f>
        <v>18</v>
      </c>
      <c r="U347" s="30"/>
      <c r="V347" s="30"/>
      <c r="W347" s="30"/>
      <c r="X347" s="31"/>
      <c r="Y347" s="32"/>
      <c r="Z347" s="32"/>
      <c r="AA347" s="32"/>
      <c r="AB347" s="219"/>
      <c r="AC347" s="33"/>
      <c r="AD347" s="23" t="str">
        <f>IF(M347="", "Error: Task name cannot be empty.", "")</f>
        <v/>
      </c>
    </row>
    <row r="348" spans="1:30" s="12" customFormat="1" ht="1.5" customHeight="1" outlineLevel="2" x14ac:dyDescent="0.35">
      <c r="A348" s="86" t="s">
        <v>57</v>
      </c>
      <c r="B348" s="18"/>
      <c r="C348" s="77"/>
      <c r="D348" s="77"/>
      <c r="E348" s="77"/>
      <c r="F348" s="76"/>
      <c r="G348" s="29"/>
      <c r="H348" s="29"/>
      <c r="I348" s="29"/>
      <c r="J348" s="29"/>
      <c r="K348" s="29"/>
      <c r="L348" s="163">
        <f ca="1">L347</f>
        <v>4</v>
      </c>
      <c r="M348" s="164" t="s">
        <v>58</v>
      </c>
      <c r="N348" s="161"/>
      <c r="O348" s="162"/>
      <c r="P348" s="30"/>
      <c r="Q348" s="30"/>
      <c r="R348" s="30"/>
      <c r="S348" s="30"/>
      <c r="T348" s="155"/>
      <c r="U348" s="30"/>
      <c r="V348" s="30"/>
      <c r="W348" s="30"/>
      <c r="X348" s="31"/>
      <c r="Y348" s="32"/>
      <c r="Z348" s="32"/>
      <c r="AA348" s="32"/>
      <c r="AB348" s="33"/>
      <c r="AC348" s="33"/>
      <c r="AD348" s="23"/>
    </row>
    <row r="349" spans="1:30" ht="43.5" customHeight="1" outlineLevel="2" x14ac:dyDescent="0.35">
      <c r="A349" s="86" t="s">
        <v>52</v>
      </c>
      <c r="B349" s="18"/>
      <c r="C349" s="78"/>
      <c r="D349" s="78"/>
      <c r="E349" s="78"/>
      <c r="F349" s="79"/>
      <c r="G349" s="19" t="s">
        <v>59</v>
      </c>
      <c r="H349" s="19" t="s">
        <v>60</v>
      </c>
      <c r="I349" s="20" t="s">
        <v>59</v>
      </c>
      <c r="J349" s="19" t="s">
        <v>59</v>
      </c>
      <c r="K349" s="35"/>
      <c r="L349" s="19"/>
      <c r="M349" s="263" t="str">
        <f ca="1">IFERROR(OFFSET(M349,-1,,1,1)+0.1,OFFSET(M349,-1,-1,1,1)&amp;".1")</f>
        <v>4.1</v>
      </c>
      <c r="N349" s="20" t="s">
        <v>392</v>
      </c>
      <c r="O349" s="20" t="s">
        <v>393</v>
      </c>
      <c r="P349" s="20"/>
      <c r="Q349" s="134"/>
      <c r="R349" s="127"/>
      <c r="S349" s="157">
        <f>CEILING((IF(J349="Yes", 0, IF(H349="-",AA349,AA349+AA349*VLOOKUP(H349,BUFFERS_BY_TYPE,2,FALSE)))) +
   (IF(J349="Yes", 0, IF(H349="-",AA349,AA349+AA349*VLOOKUP(H349,BUFFERS_BY_TYPE,2,FALSE))))*VLOOKUP($S$5, SALES_CALL_SCALE_ARRAY, 2,FALSE),0.25)</f>
        <v>4.5</v>
      </c>
      <c r="T349" s="158"/>
      <c r="U349" s="21">
        <v>0</v>
      </c>
      <c r="V349" s="21">
        <v>1</v>
      </c>
      <c r="W349" s="21">
        <v>0</v>
      </c>
      <c r="X349" s="156">
        <v>4</v>
      </c>
      <c r="Y349" s="157">
        <f>CEILING((IF(P349=AS_DEV_EFFORT, DEV_EFFORT*Q349%,
                           IF(P349=AS_DURATION_EFFORT, (MANUAL_DURATION*5)*Q349%,
                                    (IF(Q349&lt;=1,X349,
                                          IF(SUM(U349:W349)=0,(Q349*X349),
                                               (((Q349*U349)*(X349+(X349*EXTRA_FOR_H)))+
                                               ((Q349*V349)*X349)+
                                               ((Q349*W349)*(X349-(X349*LESS_FOR_L)))
                                    )*IF(R349=0,1,R349))))))+Z349), 0.25)</f>
        <v>4</v>
      </c>
      <c r="Z349" s="22"/>
      <c r="AA349" s="157">
        <f>Y349+Y349*VLOOKUP(I349,EXTRAS_ARRAY,2,FALSE)</f>
        <v>4</v>
      </c>
      <c r="AB349" s="20"/>
      <c r="AC349" s="34"/>
      <c r="AD349" s="23" t="str">
        <f>IF(J349&lt;&gt;"Yes",
IF(S349&lt;=0,"Error: Effort value is not defined or is invalid.",
IF(AND(SUM(U349:W349)&gt;0,SUM(U349:W349)&lt;&gt;1),"Error: Complexity % distribution should sum to 100%.",
IF(AND(P349=AS_DEV_EFFORT,X349&lt;&gt;0),"Error: PDs should not be defined when defining as dev effort %.",
IF(AND(P349=AS_DURATION_EFFORT,X349&lt;&gt;0),"Error: PDs should not be defined when defining as duration effort %.","")))))</f>
        <v/>
      </c>
    </row>
    <row r="350" spans="1:30" ht="43.5" customHeight="1" outlineLevel="2" x14ac:dyDescent="0.35">
      <c r="A350" s="86" t="s">
        <v>52</v>
      </c>
      <c r="B350" s="18"/>
      <c r="C350" s="78"/>
      <c r="D350" s="78"/>
      <c r="E350" s="78"/>
      <c r="F350" s="79"/>
      <c r="G350" s="19" t="s">
        <v>89</v>
      </c>
      <c r="H350" s="19" t="s">
        <v>60</v>
      </c>
      <c r="I350" s="20" t="s">
        <v>59</v>
      </c>
      <c r="J350" s="19" t="s">
        <v>59</v>
      </c>
      <c r="K350" s="35"/>
      <c r="L350" s="19"/>
      <c r="M350" s="263">
        <f ca="1">IFERROR(OFFSET(M350,-1,,1,1)+0.1,OFFSET(M350,-1,-1,1,1)&amp;".1")</f>
        <v>4.1999999999999993</v>
      </c>
      <c r="N350" s="20" t="s">
        <v>394</v>
      </c>
      <c r="O350" s="20" t="s">
        <v>395</v>
      </c>
      <c r="P350" s="20"/>
      <c r="Q350" s="134"/>
      <c r="R350" s="127"/>
      <c r="S350" s="157">
        <f>CEILING((IF(J350="Yes", 0, IF(H350="-",AA350,AA350+AA350*VLOOKUP(H350,BUFFERS_BY_TYPE,2,FALSE)))) +
   (IF(J350="Yes", 0, IF(H350="-",AA350,AA350+AA350*VLOOKUP(H350,BUFFERS_BY_TYPE,2,FALSE))))*VLOOKUP($S$5, SALES_CALL_SCALE_ARRAY, 2,FALSE),0.25)</f>
        <v>3.5</v>
      </c>
      <c r="T350" s="158"/>
      <c r="U350" s="21">
        <v>0</v>
      </c>
      <c r="V350" s="21">
        <v>1</v>
      </c>
      <c r="W350" s="21">
        <v>0</v>
      </c>
      <c r="X350" s="156">
        <v>3</v>
      </c>
      <c r="Y350" s="157">
        <f>CEILING((IF(P350=AS_DEV_EFFORT, DEV_EFFORT*Q350%,
                           IF(P350=AS_DURATION_EFFORT, (MANUAL_DURATION*5)*Q350%,
                                    (IF(Q350&lt;=1,X350,
                                          IF(SUM(U350:W350)=0,(Q350*X350),
                                               (((Q350*U350)*(X350+(X350*EXTRA_FOR_H)))+
                                               ((Q350*V350)*X350)+
                                               ((Q350*W350)*(X350-(X350*LESS_FOR_L)))
                                    )*IF(R350=0,1,R350))))))+Z350), 0.25)</f>
        <v>3</v>
      </c>
      <c r="Z350" s="22"/>
      <c r="AA350" s="157">
        <f>Y350+Y350*VLOOKUP(I350,EXTRAS_ARRAY,2,FALSE)</f>
        <v>3</v>
      </c>
      <c r="AB350" s="20"/>
      <c r="AC350" s="34"/>
      <c r="AD350" s="23" t="str">
        <f>IF(J350&lt;&gt;"Yes",
IF(S350&lt;=0,"Error: Effort value is not defined or is invalid.",
IF(AND(SUM(U350:W350)&gt;0,SUM(U350:W350)&lt;&gt;1),"Error: Complexity % distribution should sum to 100%.",
IF(AND(P350=AS_DEV_EFFORT,X350&lt;&gt;0),"Error: PDs should not be defined when defining as dev effort %.",
IF(AND(P350=AS_DURATION_EFFORT,X350&lt;&gt;0),"Error: PDs should not be defined when defining as duration effort %.","")))))</f>
        <v/>
      </c>
    </row>
    <row r="351" spans="1:30" ht="43.5" customHeight="1" outlineLevel="2" x14ac:dyDescent="0.35">
      <c r="A351" s="86" t="s">
        <v>52</v>
      </c>
      <c r="B351" s="18"/>
      <c r="C351" s="78"/>
      <c r="D351" s="78"/>
      <c r="E351" s="78"/>
      <c r="F351" s="79"/>
      <c r="G351" s="19" t="s">
        <v>89</v>
      </c>
      <c r="H351" s="19" t="s">
        <v>60</v>
      </c>
      <c r="I351" s="20" t="s">
        <v>59</v>
      </c>
      <c r="J351" s="19" t="s">
        <v>59</v>
      </c>
      <c r="K351" s="35"/>
      <c r="L351" s="19"/>
      <c r="M351" s="263">
        <f ca="1">IFERROR(OFFSET(M351,-1,,1,1)+0.1,OFFSET(M351,-1,-1,1,1)&amp;".1")</f>
        <v>4.2999999999999989</v>
      </c>
      <c r="N351" s="20" t="s">
        <v>396</v>
      </c>
      <c r="O351" s="20" t="s">
        <v>397</v>
      </c>
      <c r="P351" s="20"/>
      <c r="Q351" s="134"/>
      <c r="R351" s="127"/>
      <c r="S351" s="157">
        <f>CEILING((IF(J351="Yes", 0, IF(H351="-",AA351,AA351+AA351*VLOOKUP(H351,BUFFERS_BY_TYPE,2,FALSE)))) +
   (IF(J351="Yes", 0, IF(H351="-",AA351,AA351+AA351*VLOOKUP(H351,BUFFERS_BY_TYPE,2,FALSE))))*VLOOKUP($S$5, SALES_CALL_SCALE_ARRAY, 2,FALSE),0.25)</f>
        <v>5.5</v>
      </c>
      <c r="T351" s="158"/>
      <c r="U351" s="21">
        <v>0</v>
      </c>
      <c r="V351" s="21">
        <v>1</v>
      </c>
      <c r="W351" s="21">
        <v>0</v>
      </c>
      <c r="X351" s="156">
        <v>5</v>
      </c>
      <c r="Y351" s="157">
        <f>CEILING((IF(P351=AS_DEV_EFFORT, DEV_EFFORT*Q351%,
                           IF(P351=AS_DURATION_EFFORT, (MANUAL_DURATION*5)*Q351%,
                                    (IF(Q351&lt;=1,X351,
                                          IF(SUM(U351:W351)=0,(Q351*X351),
                                               (((Q351*U351)*(X351+(X351*EXTRA_FOR_H)))+
                                               ((Q351*V351)*X351)+
                                               ((Q351*W351)*(X351-(X351*LESS_FOR_L)))
                                    )*IF(R351=0,1,R351))))))+Z351), 0.25)</f>
        <v>5</v>
      </c>
      <c r="Z351" s="22"/>
      <c r="AA351" s="157">
        <f>Y351+Y351*VLOOKUP(I351,EXTRAS_ARRAY,2,FALSE)</f>
        <v>5</v>
      </c>
      <c r="AB351" s="20"/>
      <c r="AC351" s="34"/>
      <c r="AD351" s="23" t="str">
        <f>IF(J351&lt;&gt;"Yes",
IF(S351&lt;=0,"Error: Effort value is not defined or is invalid.",
IF(AND(SUM(U351:W351)&gt;0,SUM(U351:W351)&lt;&gt;1),"Error: Complexity % distribution should sum to 100%.",
IF(AND(P351=AS_DEV_EFFORT,X351&lt;&gt;0),"Error: PDs should not be defined when defining as dev effort %.",
IF(AND(P351=AS_DURATION_EFFORT,X351&lt;&gt;0),"Error: PDs should not be defined when defining as duration effort %.","")))))</f>
        <v/>
      </c>
    </row>
    <row r="352" spans="1:30" ht="43.5" customHeight="1" outlineLevel="2" x14ac:dyDescent="0.35">
      <c r="A352" s="86" t="s">
        <v>52</v>
      </c>
      <c r="B352" s="18"/>
      <c r="C352" s="78"/>
      <c r="D352" s="78"/>
      <c r="E352" s="78"/>
      <c r="F352" s="79"/>
      <c r="G352" s="19" t="s">
        <v>89</v>
      </c>
      <c r="H352" s="19" t="s">
        <v>60</v>
      </c>
      <c r="I352" s="20" t="s">
        <v>59</v>
      </c>
      <c r="J352" s="19" t="s">
        <v>59</v>
      </c>
      <c r="K352" s="35"/>
      <c r="L352" s="19"/>
      <c r="M352" s="263">
        <f ca="1">IFERROR(OFFSET(M352,-1,,1,1)+0.1,OFFSET(M352,-1,-1,1,1)&amp;".1")</f>
        <v>4.3999999999999986</v>
      </c>
      <c r="N352" s="20" t="s">
        <v>398</v>
      </c>
      <c r="O352" s="20" t="s">
        <v>399</v>
      </c>
      <c r="P352" s="20"/>
      <c r="Q352" s="134"/>
      <c r="R352" s="127"/>
      <c r="S352" s="157">
        <f>CEILING((IF(J352="Yes", 0, IF(H352="-",AA352,AA352+AA352*VLOOKUP(H352,BUFFERS_BY_TYPE,2,FALSE)))) +
   (IF(J352="Yes", 0, IF(H352="-",AA352,AA352+AA352*VLOOKUP(H352,BUFFERS_BY_TYPE,2,FALSE))))*VLOOKUP($S$5, SALES_CALL_SCALE_ARRAY, 2,FALSE),0.25)</f>
        <v>4.5</v>
      </c>
      <c r="T352" s="158"/>
      <c r="U352" s="21">
        <v>0</v>
      </c>
      <c r="V352" s="21">
        <v>1</v>
      </c>
      <c r="W352" s="21">
        <v>0</v>
      </c>
      <c r="X352" s="156">
        <v>4</v>
      </c>
      <c r="Y352" s="157">
        <f>CEILING((IF(P352=AS_DEV_EFFORT, DEV_EFFORT*Q352%,
                           IF(P352=AS_DURATION_EFFORT, (MANUAL_DURATION*5)*Q352%,
                                    (IF(Q352&lt;=1,X352,
                                          IF(SUM(U352:W352)=0,(Q352*X352),
                                               (((Q352*U352)*(X352+(X352*EXTRA_FOR_H)))+
                                               ((Q352*V352)*X352)+
                                               ((Q352*W352)*(X352-(X352*LESS_FOR_L)))
                                    )*IF(R352=0,1,R352))))))+Z352), 0.25)</f>
        <v>4</v>
      </c>
      <c r="Z352" s="22"/>
      <c r="AA352" s="157">
        <f>Y352+Y352*VLOOKUP(I352,EXTRAS_ARRAY,2,FALSE)</f>
        <v>4</v>
      </c>
      <c r="AB352" s="20"/>
      <c r="AC352" s="34"/>
      <c r="AD352" s="23" t="str">
        <f>IF(J352&lt;&gt;"Yes",
IF(S352&lt;=0,"Error: Effort value is not defined or is invalid.",
IF(AND(SUM(U352:W352)&gt;0,SUM(U352:W352)&lt;&gt;1),"Error: Complexity % distribution should sum to 100%.",
IF(AND(P352=AS_DEV_EFFORT,X352&lt;&gt;0),"Error: PDs should not be defined when defining as dev effort %.",
IF(AND(P352=AS_DURATION_EFFORT,X352&lt;&gt;0),"Error: PDs should not be defined when defining as duration effort %.","")))))</f>
        <v/>
      </c>
    </row>
    <row r="353" spans="1:30" s="9" customFormat="1" ht="7.5" customHeight="1" outlineLevel="2" x14ac:dyDescent="0.35">
      <c r="A353" s="86" t="s">
        <v>70</v>
      </c>
      <c r="B353" s="15"/>
      <c r="C353" s="72"/>
      <c r="D353" s="72"/>
      <c r="E353" s="72"/>
      <c r="F353" s="72"/>
      <c r="M353" s="252"/>
      <c r="T353" s="15"/>
      <c r="X353" s="15"/>
      <c r="AB353" s="10"/>
      <c r="AC353" s="10"/>
      <c r="AD353" s="10"/>
    </row>
    <row r="354" spans="1:30" s="9" customFormat="1" ht="3" customHeight="1" outlineLevel="1" x14ac:dyDescent="0.35">
      <c r="A354" s="86" t="s">
        <v>118</v>
      </c>
      <c r="C354" s="72"/>
      <c r="D354" s="72"/>
      <c r="E354" s="72"/>
      <c r="F354" s="72"/>
      <c r="G354" s="25"/>
      <c r="H354" s="25"/>
      <c r="I354" s="25"/>
      <c r="J354" s="25"/>
      <c r="K354" s="25"/>
      <c r="L354" s="56"/>
      <c r="M354" s="264"/>
      <c r="N354" s="57"/>
      <c r="O354" s="57"/>
      <c r="P354" s="56"/>
      <c r="Q354" s="56"/>
      <c r="R354" s="56"/>
      <c r="S354" s="56"/>
      <c r="T354" s="56"/>
      <c r="U354" s="56"/>
      <c r="V354" s="56"/>
      <c r="W354" s="56"/>
      <c r="X354" s="56"/>
      <c r="Y354" s="56"/>
      <c r="Z354" s="56"/>
      <c r="AA354" s="56"/>
      <c r="AB354" s="57"/>
      <c r="AC354" s="57"/>
      <c r="AD354" s="10"/>
    </row>
    <row r="355" spans="1:30" s="14" customFormat="1" ht="18.5" customHeight="1" x14ac:dyDescent="0.35">
      <c r="A355" s="86" t="s">
        <v>49</v>
      </c>
      <c r="B355" s="12"/>
      <c r="C355" s="73"/>
      <c r="D355" s="73"/>
      <c r="E355" s="73"/>
      <c r="F355" s="72"/>
      <c r="G355" s="52"/>
      <c r="H355" s="52"/>
      <c r="I355" s="52"/>
      <c r="J355" s="52"/>
      <c r="K355" s="52"/>
      <c r="L355" s="52" t="s">
        <v>400</v>
      </c>
      <c r="M355" s="261" t="s">
        <v>401</v>
      </c>
      <c r="N355" s="53"/>
      <c r="O355" s="54"/>
      <c r="P355" s="55"/>
      <c r="Q355" s="55"/>
      <c r="R355" s="55"/>
      <c r="S355" s="321">
        <f>CEILING(SUMIF(J356:J361, "&lt;&gt;Yes", T356:T361),1)</f>
        <v>76</v>
      </c>
      <c r="T355" s="292"/>
      <c r="U355" s="55"/>
      <c r="V355" s="55"/>
      <c r="W355" s="55"/>
      <c r="X355" s="55"/>
      <c r="Y355" s="55"/>
      <c r="Z355" s="55"/>
      <c r="AA355" s="55"/>
      <c r="AB355" s="55"/>
      <c r="AC355" s="55"/>
      <c r="AD355" s="13"/>
    </row>
    <row r="356" spans="1:30" s="9" customFormat="1" ht="3" customHeight="1" outlineLevel="1" x14ac:dyDescent="0.35">
      <c r="A356" s="86" t="s">
        <v>54</v>
      </c>
      <c r="B356" s="15"/>
      <c r="C356" s="72"/>
      <c r="D356" s="72"/>
      <c r="E356" s="72"/>
      <c r="F356" s="72"/>
      <c r="G356" s="25"/>
      <c r="H356" s="25"/>
      <c r="I356" s="25"/>
      <c r="J356" s="25"/>
      <c r="K356" s="25"/>
      <c r="L356" s="26">
        <v>0</v>
      </c>
      <c r="M356" s="262"/>
      <c r="N356" s="25"/>
      <c r="O356" s="25"/>
      <c r="P356" s="25"/>
      <c r="Q356" s="25"/>
      <c r="R356" s="25"/>
      <c r="S356" s="25"/>
      <c r="T356" s="27"/>
      <c r="U356" s="25"/>
      <c r="V356" s="25"/>
      <c r="W356" s="25"/>
      <c r="X356" s="27"/>
      <c r="Y356" s="25"/>
      <c r="Z356" s="25"/>
      <c r="AA356" s="25"/>
      <c r="AB356" s="28"/>
      <c r="AC356" s="28"/>
      <c r="AD356" s="10"/>
    </row>
    <row r="357" spans="1:30" s="14" customFormat="1" ht="15.5" customHeight="1" outlineLevel="1" x14ac:dyDescent="0.35">
      <c r="A357" s="86" t="s">
        <v>55</v>
      </c>
      <c r="B357" s="18"/>
      <c r="C357" s="77"/>
      <c r="D357" s="77"/>
      <c r="E357" s="77"/>
      <c r="F357" s="76"/>
      <c r="G357" s="29"/>
      <c r="H357" s="29"/>
      <c r="I357" s="29"/>
      <c r="J357" s="29"/>
      <c r="K357" s="29"/>
      <c r="L357" s="17">
        <f ca="1">LOOKUP(1000,INDIRECT("L1:"&amp;CELL("address",INDIRECT("R[-1]C",FALSE))))+1</f>
        <v>1</v>
      </c>
      <c r="M357" s="287" t="s">
        <v>402</v>
      </c>
      <c r="N357" s="288"/>
      <c r="O357" s="5"/>
      <c r="P357" s="30"/>
      <c r="Q357" s="30"/>
      <c r="R357" s="30"/>
      <c r="S357" s="30"/>
      <c r="T357" s="155">
        <f>IF($S$6="Exclude", SUMIFS(S358:S360, J358:J360, "&lt;&gt;Yes", G358:G360, "&lt;&gt;Yes"), SUMIFS(S358:S360, J358:J360, "&lt;&gt;Yes"))</f>
        <v>75.25</v>
      </c>
      <c r="U357" s="30"/>
      <c r="V357" s="30"/>
      <c r="W357" s="30"/>
      <c r="X357" s="31"/>
      <c r="Y357" s="32"/>
      <c r="Z357" s="32"/>
      <c r="AA357" s="32"/>
      <c r="AB357" s="219"/>
      <c r="AC357" s="33"/>
      <c r="AD357" s="23" t="str">
        <f>IF(M357="", "Error: Task name cannot be empty.", "")</f>
        <v/>
      </c>
    </row>
    <row r="358" spans="1:30" s="12" customFormat="1" ht="1.5" customHeight="1" outlineLevel="2" x14ac:dyDescent="0.35">
      <c r="A358" s="86" t="s">
        <v>57</v>
      </c>
      <c r="B358" s="18"/>
      <c r="C358" s="77"/>
      <c r="D358" s="77"/>
      <c r="E358" s="77"/>
      <c r="F358" s="76"/>
      <c r="G358" s="29"/>
      <c r="H358" s="29"/>
      <c r="I358" s="29"/>
      <c r="J358" s="29"/>
      <c r="K358" s="29"/>
      <c r="L358" s="163">
        <f ca="1">L357</f>
        <v>1</v>
      </c>
      <c r="M358" s="164" t="s">
        <v>58</v>
      </c>
      <c r="N358" s="161"/>
      <c r="O358" s="162"/>
      <c r="P358" s="30"/>
      <c r="Q358" s="30"/>
      <c r="R358" s="30"/>
      <c r="S358" s="30"/>
      <c r="T358" s="155"/>
      <c r="U358" s="30"/>
      <c r="V358" s="30"/>
      <c r="W358" s="30"/>
      <c r="X358" s="31"/>
      <c r="Y358" s="32"/>
      <c r="Z358" s="32"/>
      <c r="AA358" s="32"/>
      <c r="AB358" s="33"/>
      <c r="AC358" s="33"/>
      <c r="AD358" s="23"/>
    </row>
    <row r="359" spans="1:30" ht="15.5" customHeight="1" outlineLevel="2" x14ac:dyDescent="0.35">
      <c r="A359" s="86" t="s">
        <v>52</v>
      </c>
      <c r="B359" s="18"/>
      <c r="C359" s="78"/>
      <c r="D359" s="78"/>
      <c r="E359" s="78"/>
      <c r="F359" s="79"/>
      <c r="G359" s="19" t="s">
        <v>59</v>
      </c>
      <c r="H359" s="19" t="s">
        <v>60</v>
      </c>
      <c r="I359" s="20" t="s">
        <v>59</v>
      </c>
      <c r="J359" s="19" t="s">
        <v>59</v>
      </c>
      <c r="K359" s="35"/>
      <c r="L359" s="19"/>
      <c r="M359" s="263" t="str">
        <f ca="1">IFERROR(OFFSET(M359,-1,,1,1)+0.1,OFFSET(M359,-1,-1,1,1)&amp;".1")</f>
        <v>1.1</v>
      </c>
      <c r="N359" s="20" t="s">
        <v>403</v>
      </c>
      <c r="O359" s="20" t="s">
        <v>404</v>
      </c>
      <c r="P359" s="251">
        <v>0.1</v>
      </c>
      <c r="Q359" s="134"/>
      <c r="R359" s="127"/>
      <c r="S359" s="157">
        <f>CEILING((IF(J359="Yes", 0, IF(H359="-",AA359,AA359+AA359*VLOOKUP(H359,BUFFERS_BY_TYPE,2,FALSE)))) +
   (IF(J359="Yes", 0, IF(H359="-",AA359,AA359+AA359*VLOOKUP(H359,BUFFERS_BY_TYPE,2,FALSE))))*VLOOKUP($S$5, SALES_CALL_SCALE_ARRAY, 2,FALSE),0.25)</f>
        <v>75.25</v>
      </c>
      <c r="T359" s="158"/>
      <c r="U359" s="21">
        <v>0</v>
      </c>
      <c r="V359" s="21">
        <v>1</v>
      </c>
      <c r="W359" s="21">
        <v>0</v>
      </c>
      <c r="X359" s="156">
        <f>(REQ_EFFORT+DESIGN_EFFORT+DEV_EFFORT+QA_EFFORT+UAT_EFFORT) * P359</f>
        <v>68.100000000000009</v>
      </c>
      <c r="Y359" s="157">
        <f>CEILING((IF(P359=AS_DEV_EFFORT, DEV_EFFORT*Q359%,
                           IF(P359=AS_DURATION_EFFORT, (MANUAL_DURATION*5)*Q359%,
                                    (IF(Q359&lt;=1,X359,
                                          IF(SUM(U359:W359)=0,(Q359*X359),
                                               (((Q359*U359)*(X359+(X359*EXTRA_FOR_H)))+
                                               ((Q359*V359)*X359)+
                                               ((Q359*W359)*(X359-(X359*LESS_FOR_L)))
                                    )*IF(R359=0,1,R359))))))+Z359), 0.25)</f>
        <v>68.25</v>
      </c>
      <c r="Z359" s="22"/>
      <c r="AA359" s="157">
        <f>Y359+Y359*VLOOKUP(I359,EXTRAS_ARRAY,2,FALSE)</f>
        <v>68.25</v>
      </c>
      <c r="AB359" s="20"/>
      <c r="AC359" s="34"/>
      <c r="AD359" s="23" t="str">
        <f>IF(J359&lt;&gt;"Yes",
IF(S359&lt;=0,"Error: Effort value is not defined or is invalid.",
IF(AND(SUM(U359:W359)&gt;0,SUM(U359:W359)&lt;&gt;1),"Error: Complexity % distribution should sum to 100%.",
IF(AND(P359=AS_DEV_EFFORT,X359&lt;&gt;0),"Error: PDs should not be defined when defining as dev effort %.",
IF(AND(P359=AS_DURATION_EFFORT,X359&lt;&gt;0),"Error: PDs should not be defined when defining as duration effort %.","")))))</f>
        <v/>
      </c>
    </row>
    <row r="360" spans="1:30" s="9" customFormat="1" ht="7.5" customHeight="1" outlineLevel="2" x14ac:dyDescent="0.35">
      <c r="A360" s="86" t="s">
        <v>70</v>
      </c>
      <c r="B360" s="15"/>
      <c r="C360" s="72"/>
      <c r="D360" s="72"/>
      <c r="E360" s="72"/>
      <c r="F360" s="72"/>
      <c r="M360" s="252"/>
      <c r="T360" s="15"/>
      <c r="X360" s="15"/>
      <c r="AB360" s="10"/>
      <c r="AC360" s="10"/>
      <c r="AD360" s="10"/>
    </row>
    <row r="361" spans="1:30" s="9" customFormat="1" ht="3" customHeight="1" outlineLevel="1" x14ac:dyDescent="0.35">
      <c r="A361" s="86" t="s">
        <v>118</v>
      </c>
      <c r="C361" s="72"/>
      <c r="D361" s="72"/>
      <c r="E361" s="72"/>
      <c r="F361" s="72"/>
      <c r="G361" s="25"/>
      <c r="H361" s="25"/>
      <c r="I361" s="25"/>
      <c r="J361" s="25"/>
      <c r="K361" s="25"/>
      <c r="L361" s="56"/>
      <c r="M361" s="264"/>
      <c r="N361" s="57"/>
      <c r="O361" s="57"/>
      <c r="P361" s="56"/>
      <c r="Q361" s="56"/>
      <c r="R361" s="56"/>
      <c r="S361" s="56"/>
      <c r="T361" s="56"/>
      <c r="U361" s="56"/>
      <c r="V361" s="56"/>
      <c r="W361" s="56"/>
      <c r="X361" s="56"/>
      <c r="Y361" s="56"/>
      <c r="Z361" s="56"/>
      <c r="AA361" s="56"/>
      <c r="AB361" s="57"/>
      <c r="AC361" s="57"/>
      <c r="AD361" s="10"/>
    </row>
    <row r="362" spans="1:30" s="9" customFormat="1" ht="20.25" customHeight="1" x14ac:dyDescent="0.35">
      <c r="A362" s="86" t="s">
        <v>405</v>
      </c>
      <c r="C362" s="72"/>
      <c r="D362" s="72"/>
      <c r="E362" s="72"/>
      <c r="F362" s="72"/>
      <c r="G362" s="40"/>
      <c r="H362" s="40"/>
      <c r="I362" s="40"/>
      <c r="J362" s="40"/>
      <c r="K362" s="40"/>
      <c r="L362" s="136"/>
      <c r="M362" s="258"/>
      <c r="N362" s="40"/>
      <c r="O362" s="40"/>
      <c r="P362" s="40"/>
      <c r="Q362" s="40"/>
      <c r="R362" s="40"/>
      <c r="S362" s="297">
        <f>TOTAL_EFFORT</f>
        <v>757</v>
      </c>
      <c r="T362" s="294"/>
      <c r="U362" s="40"/>
      <c r="V362" s="40"/>
      <c r="W362" s="40"/>
      <c r="X362" s="40"/>
      <c r="Y362" s="40"/>
      <c r="Z362" s="40"/>
      <c r="AA362" s="40"/>
      <c r="AB362" s="135"/>
      <c r="AC362" s="40"/>
      <c r="AD362" s="10"/>
    </row>
    <row r="363" spans="1:30" s="9" customFormat="1" x14ac:dyDescent="0.35">
      <c r="A363" s="86"/>
      <c r="C363" s="74"/>
      <c r="D363" s="74"/>
      <c r="E363" s="74"/>
      <c r="F363" s="72"/>
      <c r="M363" s="252"/>
      <c r="N363" s="10"/>
      <c r="O363" s="10"/>
      <c r="AB363" s="10"/>
      <c r="AC363" s="10"/>
      <c r="AD363" s="10"/>
    </row>
    <row r="364" spans="1:30" s="9" customFormat="1" ht="20.25" customHeight="1" x14ac:dyDescent="0.35">
      <c r="A364" s="86"/>
      <c r="C364" s="72"/>
      <c r="D364" s="72"/>
      <c r="E364" s="72"/>
      <c r="F364" s="72"/>
      <c r="G364" s="309" t="s">
        <v>35</v>
      </c>
      <c r="H364" s="294"/>
      <c r="I364" s="165"/>
      <c r="J364" s="40"/>
      <c r="K364" s="40"/>
      <c r="L364" s="36"/>
      <c r="M364" s="265" t="s">
        <v>406</v>
      </c>
      <c r="N364" s="36"/>
      <c r="O364" s="36"/>
      <c r="P364" s="36"/>
      <c r="Q364" s="36"/>
      <c r="R364" s="36"/>
      <c r="S364" s="36"/>
      <c r="T364" s="36"/>
      <c r="U364" s="36"/>
      <c r="V364" s="36"/>
      <c r="W364" s="36"/>
      <c r="X364" s="36"/>
      <c r="Y364" s="36"/>
      <c r="Z364" s="36"/>
      <c r="AA364" s="36"/>
      <c r="AB364" s="36"/>
      <c r="AC364" s="36"/>
      <c r="AD364" s="10"/>
    </row>
    <row r="365" spans="1:30" s="9" customFormat="1" outlineLevel="1" x14ac:dyDescent="0.35">
      <c r="A365" s="86"/>
      <c r="C365" s="74"/>
      <c r="D365" s="74"/>
      <c r="E365" s="74"/>
      <c r="F365" s="72"/>
      <c r="G365" s="25"/>
      <c r="H365" s="25"/>
      <c r="I365" s="25"/>
      <c r="J365" s="25"/>
      <c r="K365" s="25"/>
      <c r="L365" s="25"/>
      <c r="M365" s="262"/>
      <c r="N365" s="28"/>
      <c r="O365" s="28"/>
      <c r="P365" s="25"/>
      <c r="Q365" s="25"/>
      <c r="R365" s="25"/>
      <c r="S365" s="25"/>
      <c r="T365" s="25"/>
      <c r="U365" s="25"/>
      <c r="V365" s="25"/>
      <c r="W365" s="25"/>
      <c r="X365" s="25"/>
      <c r="Y365" s="25"/>
      <c r="Z365" s="25"/>
      <c r="AA365" s="25"/>
      <c r="AB365" s="28"/>
      <c r="AC365" s="28"/>
      <c r="AD365" s="10"/>
    </row>
    <row r="366" spans="1:30" s="9" customFormat="1" ht="15" customHeight="1" outlineLevel="1" x14ac:dyDescent="0.35">
      <c r="A366" s="86"/>
      <c r="C366" s="74"/>
      <c r="D366" s="74"/>
      <c r="E366" s="74"/>
      <c r="F366" s="72"/>
      <c r="G366" s="25"/>
      <c r="H366" s="25"/>
      <c r="I366" s="25"/>
      <c r="J366" s="25"/>
      <c r="K366" s="25"/>
      <c r="L366" s="25"/>
      <c r="M366" s="293" t="s">
        <v>407</v>
      </c>
      <c r="N366" s="294"/>
      <c r="O366" s="294"/>
      <c r="P366" s="294"/>
      <c r="Q366" s="294"/>
      <c r="R366" s="294"/>
      <c r="S366" s="294"/>
      <c r="T366" s="294"/>
      <c r="U366" s="28"/>
      <c r="V366" s="28"/>
      <c r="W366" s="28"/>
      <c r="X366" s="25"/>
      <c r="Y366" s="25"/>
      <c r="Z366" s="25"/>
      <c r="AA366" s="25"/>
      <c r="AB366" s="28"/>
      <c r="AC366" s="28"/>
      <c r="AD366" s="10"/>
    </row>
    <row r="367" spans="1:30" s="9" customFormat="1" outlineLevel="1" x14ac:dyDescent="0.35">
      <c r="A367" s="86"/>
      <c r="C367" s="74"/>
      <c r="D367" s="74"/>
      <c r="E367" s="74"/>
      <c r="F367" s="72"/>
      <c r="G367" s="25"/>
      <c r="H367" s="25"/>
      <c r="I367" s="25"/>
      <c r="J367" s="25"/>
      <c r="K367" s="25"/>
      <c r="L367" s="25"/>
      <c r="M367" s="294"/>
      <c r="N367" s="294"/>
      <c r="O367" s="294"/>
      <c r="P367" s="294"/>
      <c r="Q367" s="294"/>
      <c r="R367" s="294"/>
      <c r="S367" s="294"/>
      <c r="T367" s="294"/>
      <c r="U367" s="28"/>
      <c r="V367" s="28"/>
      <c r="W367" s="28"/>
      <c r="X367" s="25"/>
      <c r="Y367" s="25"/>
      <c r="Z367" s="25"/>
      <c r="AA367" s="25"/>
      <c r="AB367" s="28"/>
      <c r="AC367" s="28"/>
      <c r="AD367" s="10"/>
    </row>
    <row r="368" spans="1:30" s="9" customFormat="1" ht="3.75" customHeight="1" outlineLevel="1" x14ac:dyDescent="0.35">
      <c r="A368" s="86"/>
      <c r="C368" s="74"/>
      <c r="D368" s="74"/>
      <c r="E368" s="74"/>
      <c r="F368" s="72"/>
      <c r="G368" s="25"/>
      <c r="H368" s="25"/>
      <c r="I368" s="25"/>
      <c r="J368" s="25"/>
      <c r="K368" s="25"/>
      <c r="L368" s="25"/>
      <c r="M368" s="262"/>
      <c r="N368" s="28"/>
      <c r="O368" s="28"/>
      <c r="P368" s="25"/>
      <c r="Q368" s="25"/>
      <c r="R368" s="25"/>
      <c r="S368" s="25"/>
      <c r="T368" s="25"/>
      <c r="U368" s="25"/>
      <c r="V368" s="25"/>
      <c r="W368" s="25"/>
      <c r="X368" s="25"/>
      <c r="Y368" s="25"/>
      <c r="Z368" s="25"/>
      <c r="AA368" s="25"/>
      <c r="AB368" s="28"/>
      <c r="AC368" s="28"/>
      <c r="AD368" s="10"/>
    </row>
    <row r="369" spans="1:30" s="9" customFormat="1" ht="15.5" customHeight="1" outlineLevel="1" x14ac:dyDescent="0.35">
      <c r="A369" s="86"/>
      <c r="C369" s="74"/>
      <c r="D369" s="74"/>
      <c r="E369" s="74"/>
      <c r="F369" s="72"/>
      <c r="G369" s="25"/>
      <c r="H369" s="25"/>
      <c r="I369" s="25"/>
      <c r="J369" s="25"/>
      <c r="K369" s="25"/>
      <c r="L369" s="25"/>
      <c r="M369" s="266" t="s">
        <v>39</v>
      </c>
      <c r="N369" s="184" t="s">
        <v>38</v>
      </c>
      <c r="O369" s="188" t="s">
        <v>41</v>
      </c>
      <c r="P369" s="187" t="str">
        <f>"Cost ("&amp;CHOSEN_CURRENCY&amp;")"</f>
        <v>Cost (USD)</v>
      </c>
      <c r="Q369" s="25"/>
      <c r="R369" s="220" t="s">
        <v>408</v>
      </c>
      <c r="S369" s="58" t="s">
        <v>409</v>
      </c>
      <c r="T369" s="230" t="s">
        <v>410</v>
      </c>
      <c r="U369" s="25"/>
      <c r="V369" s="25"/>
      <c r="W369" s="25"/>
      <c r="X369" s="25"/>
      <c r="Y369" s="25"/>
      <c r="Z369" s="25"/>
      <c r="AA369" s="25"/>
      <c r="AB369" s="28"/>
      <c r="AC369" s="28"/>
      <c r="AD369" s="10"/>
    </row>
    <row r="370" spans="1:30" s="9" customFormat="1" ht="3" customHeight="1" outlineLevel="1" x14ac:dyDescent="0.35">
      <c r="A370" s="86"/>
      <c r="C370" s="74"/>
      <c r="D370" s="74"/>
      <c r="E370" s="74"/>
      <c r="F370" s="72"/>
      <c r="G370" s="25"/>
      <c r="H370" s="25"/>
      <c r="I370" s="25"/>
      <c r="J370" s="25"/>
      <c r="K370" s="25"/>
      <c r="L370" s="25"/>
      <c r="M370" s="267"/>
      <c r="N370" s="245"/>
      <c r="O370" s="245"/>
      <c r="P370" s="244"/>
      <c r="Q370" s="25"/>
      <c r="R370" s="25"/>
      <c r="S370" s="25"/>
      <c r="T370" s="25"/>
      <c r="U370" s="25"/>
      <c r="V370" s="25"/>
      <c r="W370" s="25"/>
      <c r="X370" s="25"/>
      <c r="Y370" s="25"/>
      <c r="Z370" s="25"/>
      <c r="AA370" s="25"/>
      <c r="AB370" s="28"/>
      <c r="AC370" s="28"/>
      <c r="AD370" s="10"/>
    </row>
    <row r="371" spans="1:30" s="9" customFormat="1" outlineLevel="1" x14ac:dyDescent="0.35">
      <c r="A371" s="86"/>
      <c r="C371" s="74"/>
      <c r="D371" s="74"/>
      <c r="E371" s="74"/>
      <c r="F371" s="72"/>
      <c r="G371" s="25"/>
      <c r="H371" s="25"/>
      <c r="I371" s="25"/>
      <c r="J371" s="25"/>
      <c r="K371" s="25"/>
      <c r="L371" s="25"/>
      <c r="M371" s="262"/>
      <c r="N371" s="28"/>
      <c r="O371" s="28"/>
      <c r="P371" s="25"/>
      <c r="Q371" s="25"/>
      <c r="R371" s="25"/>
      <c r="S371" s="25"/>
      <c r="T371" s="25"/>
      <c r="U371" s="25"/>
      <c r="V371" s="25"/>
      <c r="W371" s="25"/>
      <c r="X371" s="25"/>
      <c r="Y371" s="25"/>
      <c r="Z371" s="25"/>
      <c r="AA371" s="25"/>
      <c r="AB371" s="28"/>
      <c r="AC371" s="28"/>
      <c r="AD371" s="10"/>
    </row>
    <row r="372" spans="1:30" s="344" customFormat="1" outlineLevel="1" x14ac:dyDescent="0.35">
      <c r="A372" s="86"/>
      <c r="C372" s="345"/>
      <c r="D372" s="345"/>
      <c r="E372" s="345"/>
      <c r="F372" s="72"/>
      <c r="G372" s="346"/>
      <c r="H372" s="346"/>
      <c r="I372" s="346"/>
      <c r="J372" s="346"/>
      <c r="K372" s="346"/>
      <c r="L372" s="346"/>
      <c r="M372" s="347">
        <v>1</v>
      </c>
      <c r="N372" s="348" t="s">
        <v>143</v>
      </c>
      <c r="O372" s="349">
        <v>23.7</v>
      </c>
      <c r="P372" s="350">
        <v>5313.4</v>
      </c>
      <c r="Q372" s="346"/>
      <c r="R372" s="346"/>
      <c r="S372" s="346"/>
      <c r="T372" s="346"/>
      <c r="U372" s="346"/>
      <c r="V372" s="346"/>
      <c r="W372" s="346"/>
      <c r="X372" s="346"/>
      <c r="Y372" s="346"/>
      <c r="Z372" s="346"/>
      <c r="AA372" s="346"/>
      <c r="AB372" s="348"/>
      <c r="AC372" s="348"/>
      <c r="AD372" s="351"/>
    </row>
    <row r="373" spans="1:30" s="344" customFormat="1" outlineLevel="1" x14ac:dyDescent="0.35">
      <c r="A373" s="86"/>
      <c r="C373" s="345"/>
      <c r="D373" s="345"/>
      <c r="E373" s="345"/>
      <c r="F373" s="72"/>
      <c r="G373" s="346"/>
      <c r="H373" s="346"/>
      <c r="I373" s="346"/>
      <c r="J373" s="346"/>
      <c r="K373" s="346"/>
      <c r="L373" s="346"/>
      <c r="M373" s="347">
        <v>2</v>
      </c>
      <c r="N373" s="348" t="s">
        <v>152</v>
      </c>
      <c r="O373" s="349">
        <v>35.6</v>
      </c>
      <c r="P373" s="350">
        <v>7970.2</v>
      </c>
      <c r="Q373" s="346"/>
      <c r="R373" s="346"/>
      <c r="S373" s="346"/>
      <c r="T373" s="346"/>
      <c r="U373" s="346"/>
      <c r="V373" s="346"/>
      <c r="W373" s="346"/>
      <c r="X373" s="346"/>
      <c r="Y373" s="346"/>
      <c r="Z373" s="346"/>
      <c r="AA373" s="346"/>
      <c r="AB373" s="348"/>
      <c r="AC373" s="348"/>
      <c r="AD373" s="351"/>
    </row>
    <row r="374" spans="1:30" s="275" customFormat="1" outlineLevel="1" x14ac:dyDescent="0.35">
      <c r="A374" s="274"/>
      <c r="C374" s="276"/>
      <c r="D374" s="276"/>
      <c r="E374" s="276"/>
      <c r="F374" s="277"/>
      <c r="G374" s="278"/>
      <c r="H374" s="278"/>
      <c r="I374" s="278"/>
      <c r="J374" s="278"/>
      <c r="K374" s="278"/>
      <c r="L374" s="278"/>
      <c r="M374" s="279" t="s">
        <v>23</v>
      </c>
      <c r="N374" s="280" t="s">
        <v>162</v>
      </c>
      <c r="O374" s="281">
        <v>75.8</v>
      </c>
      <c r="P374" s="282">
        <v>16979.900000000001</v>
      </c>
      <c r="Q374" s="278"/>
      <c r="R374" s="278"/>
      <c r="S374" s="278"/>
      <c r="T374" s="278"/>
      <c r="U374" s="278"/>
      <c r="V374" s="278"/>
      <c r="W374" s="278"/>
      <c r="X374" s="278"/>
      <c r="Y374" s="278"/>
      <c r="Z374" s="278"/>
      <c r="AA374" s="278"/>
      <c r="AB374" s="280"/>
      <c r="AC374" s="280"/>
      <c r="AD374" s="283"/>
    </row>
    <row r="375" spans="1:30" s="344" customFormat="1" outlineLevel="1" x14ac:dyDescent="0.35">
      <c r="A375" s="86"/>
      <c r="C375" s="345"/>
      <c r="D375" s="345"/>
      <c r="E375" s="345"/>
      <c r="F375" s="72"/>
      <c r="G375" s="346"/>
      <c r="H375" s="346"/>
      <c r="I375" s="346"/>
      <c r="J375" s="346"/>
      <c r="K375" s="346"/>
      <c r="L375" s="346"/>
      <c r="M375" s="347">
        <v>3</v>
      </c>
      <c r="N375" s="348" t="s">
        <v>163</v>
      </c>
      <c r="O375" s="349">
        <v>19.100000000000001</v>
      </c>
      <c r="P375" s="350">
        <v>4273.8999999999996</v>
      </c>
      <c r="Q375" s="346"/>
      <c r="R375" s="346"/>
      <c r="S375" s="346"/>
      <c r="T375" s="346"/>
      <c r="U375" s="346"/>
      <c r="V375" s="346"/>
      <c r="W375" s="346"/>
      <c r="X375" s="346"/>
      <c r="Y375" s="346"/>
      <c r="Z375" s="346"/>
      <c r="AA375" s="346"/>
      <c r="AB375" s="348"/>
      <c r="AC375" s="348"/>
      <c r="AD375" s="351"/>
    </row>
    <row r="376" spans="1:30" s="344" customFormat="1" outlineLevel="1" x14ac:dyDescent="0.35">
      <c r="A376" s="86"/>
      <c r="C376" s="345"/>
      <c r="D376" s="345"/>
      <c r="E376" s="345"/>
      <c r="F376" s="72"/>
      <c r="G376" s="346"/>
      <c r="H376" s="346"/>
      <c r="I376" s="346"/>
      <c r="J376" s="346"/>
      <c r="K376" s="346"/>
      <c r="L376" s="346"/>
      <c r="M376" s="347">
        <v>4</v>
      </c>
      <c r="N376" s="348" t="s">
        <v>166</v>
      </c>
      <c r="O376" s="349">
        <v>7.2</v>
      </c>
      <c r="P376" s="350">
        <v>1617.1</v>
      </c>
      <c r="Q376" s="346"/>
      <c r="R376" s="346"/>
      <c r="S376" s="346"/>
      <c r="T376" s="346"/>
      <c r="U376" s="346"/>
      <c r="V376" s="346"/>
      <c r="W376" s="346"/>
      <c r="X376" s="346"/>
      <c r="Y376" s="346"/>
      <c r="Z376" s="346"/>
      <c r="AA376" s="346"/>
      <c r="AB376" s="348"/>
      <c r="AC376" s="348"/>
      <c r="AD376" s="351"/>
    </row>
    <row r="377" spans="1:30" s="344" customFormat="1" outlineLevel="1" x14ac:dyDescent="0.35">
      <c r="A377" s="86"/>
      <c r="C377" s="345"/>
      <c r="D377" s="345"/>
      <c r="E377" s="345"/>
      <c r="F377" s="72"/>
      <c r="G377" s="346"/>
      <c r="H377" s="346"/>
      <c r="I377" s="346"/>
      <c r="J377" s="346"/>
      <c r="K377" s="346"/>
      <c r="L377" s="346"/>
      <c r="M377" s="347">
        <v>5</v>
      </c>
      <c r="N377" s="348" t="s">
        <v>171</v>
      </c>
      <c r="O377" s="349">
        <v>23.7</v>
      </c>
      <c r="P377" s="350">
        <v>5313.4</v>
      </c>
      <c r="Q377" s="346"/>
      <c r="R377" s="346"/>
      <c r="S377" s="346"/>
      <c r="T377" s="346"/>
      <c r="U377" s="346"/>
      <c r="V377" s="346"/>
      <c r="W377" s="346"/>
      <c r="X377" s="346"/>
      <c r="Y377" s="346"/>
      <c r="Z377" s="346"/>
      <c r="AA377" s="346"/>
      <c r="AB377" s="348"/>
      <c r="AC377" s="348"/>
      <c r="AD377" s="351"/>
    </row>
    <row r="378" spans="1:30" s="344" customFormat="1" outlineLevel="1" x14ac:dyDescent="0.35">
      <c r="A378" s="86"/>
      <c r="C378" s="345"/>
      <c r="D378" s="345"/>
      <c r="E378" s="345"/>
      <c r="F378" s="72"/>
      <c r="G378" s="346"/>
      <c r="H378" s="346"/>
      <c r="I378" s="346"/>
      <c r="J378" s="346"/>
      <c r="K378" s="346"/>
      <c r="L378" s="346"/>
      <c r="M378" s="347">
        <v>6</v>
      </c>
      <c r="N378" s="348" t="s">
        <v>175</v>
      </c>
      <c r="O378" s="349">
        <v>9.3000000000000007</v>
      </c>
      <c r="P378" s="350">
        <v>2079.1999999999998</v>
      </c>
      <c r="Q378" s="346"/>
      <c r="R378" s="346"/>
      <c r="S378" s="346"/>
      <c r="T378" s="346"/>
      <c r="U378" s="346"/>
      <c r="V378" s="346"/>
      <c r="W378" s="346"/>
      <c r="X378" s="346"/>
      <c r="Y378" s="346"/>
      <c r="Z378" s="346"/>
      <c r="AA378" s="346"/>
      <c r="AB378" s="348"/>
      <c r="AC378" s="348"/>
      <c r="AD378" s="351"/>
    </row>
    <row r="379" spans="1:30" s="344" customFormat="1" outlineLevel="1" x14ac:dyDescent="0.35">
      <c r="A379" s="86"/>
      <c r="C379" s="345"/>
      <c r="D379" s="345"/>
      <c r="E379" s="345"/>
      <c r="F379" s="72"/>
      <c r="G379" s="346"/>
      <c r="H379" s="346"/>
      <c r="I379" s="346"/>
      <c r="J379" s="346"/>
      <c r="K379" s="346"/>
      <c r="L379" s="346"/>
      <c r="M379" s="347">
        <v>7</v>
      </c>
      <c r="N379" s="348" t="s">
        <v>179</v>
      </c>
      <c r="O379" s="349">
        <v>9.3000000000000007</v>
      </c>
      <c r="P379" s="350">
        <v>2079.1999999999998</v>
      </c>
      <c r="Q379" s="346"/>
      <c r="R379" s="346"/>
      <c r="S379" s="346"/>
      <c r="T379" s="346"/>
      <c r="U379" s="346"/>
      <c r="V379" s="346"/>
      <c r="W379" s="346"/>
      <c r="X379" s="346"/>
      <c r="Y379" s="346"/>
      <c r="Z379" s="346"/>
      <c r="AA379" s="346"/>
      <c r="AB379" s="348"/>
      <c r="AC379" s="348"/>
      <c r="AD379" s="351"/>
    </row>
    <row r="380" spans="1:30" s="344" customFormat="1" outlineLevel="1" x14ac:dyDescent="0.35">
      <c r="A380" s="86"/>
      <c r="C380" s="345"/>
      <c r="D380" s="345"/>
      <c r="E380" s="345"/>
      <c r="F380" s="72"/>
      <c r="G380" s="346"/>
      <c r="H380" s="346"/>
      <c r="I380" s="346"/>
      <c r="J380" s="346"/>
      <c r="K380" s="346"/>
      <c r="L380" s="346"/>
      <c r="M380" s="347">
        <v>8</v>
      </c>
      <c r="N380" s="348" t="s">
        <v>183</v>
      </c>
      <c r="O380" s="349">
        <v>7.2</v>
      </c>
      <c r="P380" s="350">
        <v>1617.1</v>
      </c>
      <c r="Q380" s="346"/>
      <c r="R380" s="346"/>
      <c r="S380" s="346"/>
      <c r="T380" s="346"/>
      <c r="U380" s="346"/>
      <c r="V380" s="346"/>
      <c r="W380" s="346"/>
      <c r="X380" s="346"/>
      <c r="Y380" s="346"/>
      <c r="Z380" s="346"/>
      <c r="AA380" s="346"/>
      <c r="AB380" s="348"/>
      <c r="AC380" s="348"/>
      <c r="AD380" s="351"/>
    </row>
    <row r="381" spans="1:30" s="275" customFormat="1" outlineLevel="1" x14ac:dyDescent="0.35">
      <c r="A381" s="274"/>
      <c r="C381" s="276"/>
      <c r="D381" s="276"/>
      <c r="E381" s="276"/>
      <c r="F381" s="277"/>
      <c r="G381" s="278"/>
      <c r="H381" s="278"/>
      <c r="I381" s="278"/>
      <c r="J381" s="278"/>
      <c r="K381" s="278"/>
      <c r="L381" s="278"/>
      <c r="M381" s="279" t="s">
        <v>23</v>
      </c>
      <c r="N381" s="280" t="s">
        <v>187</v>
      </c>
      <c r="O381" s="281">
        <v>77.400000000000006</v>
      </c>
      <c r="P381" s="282">
        <v>17326.400000000001</v>
      </c>
      <c r="Q381" s="278"/>
      <c r="R381" s="278"/>
      <c r="S381" s="278"/>
      <c r="T381" s="278"/>
      <c r="U381" s="278"/>
      <c r="V381" s="278"/>
      <c r="W381" s="278"/>
      <c r="X381" s="278"/>
      <c r="Y381" s="278"/>
      <c r="Z381" s="278"/>
      <c r="AA381" s="278"/>
      <c r="AB381" s="280"/>
      <c r="AC381" s="280"/>
      <c r="AD381" s="283"/>
    </row>
    <row r="382" spans="1:30" s="344" customFormat="1" outlineLevel="1" x14ac:dyDescent="0.35">
      <c r="A382" s="86"/>
      <c r="C382" s="345"/>
      <c r="D382" s="345"/>
      <c r="E382" s="345"/>
      <c r="F382" s="72"/>
      <c r="G382" s="346"/>
      <c r="H382" s="346"/>
      <c r="I382" s="346"/>
      <c r="J382" s="346"/>
      <c r="K382" s="346"/>
      <c r="L382" s="346"/>
      <c r="M382" s="347">
        <v>9</v>
      </c>
      <c r="N382" s="348" t="s">
        <v>163</v>
      </c>
      <c r="O382" s="349">
        <v>14.4</v>
      </c>
      <c r="P382" s="350">
        <v>3234.3</v>
      </c>
      <c r="Q382" s="346"/>
      <c r="R382" s="346"/>
      <c r="S382" s="346"/>
      <c r="T382" s="346"/>
      <c r="U382" s="346"/>
      <c r="V382" s="346"/>
      <c r="W382" s="346"/>
      <c r="X382" s="346"/>
      <c r="Y382" s="346"/>
      <c r="Z382" s="346"/>
      <c r="AA382" s="346"/>
      <c r="AB382" s="348"/>
      <c r="AC382" s="348"/>
      <c r="AD382" s="351"/>
    </row>
    <row r="383" spans="1:30" s="344" customFormat="1" outlineLevel="1" x14ac:dyDescent="0.35">
      <c r="A383" s="86"/>
      <c r="C383" s="345"/>
      <c r="D383" s="345"/>
      <c r="E383" s="345"/>
      <c r="F383" s="72"/>
      <c r="G383" s="346"/>
      <c r="H383" s="346"/>
      <c r="I383" s="346"/>
      <c r="J383" s="346"/>
      <c r="K383" s="346"/>
      <c r="L383" s="346"/>
      <c r="M383" s="347">
        <v>10</v>
      </c>
      <c r="N383" s="348" t="s">
        <v>166</v>
      </c>
      <c r="O383" s="349">
        <v>7.2</v>
      </c>
      <c r="P383" s="350">
        <v>1617.1</v>
      </c>
      <c r="Q383" s="346"/>
      <c r="R383" s="346"/>
      <c r="S383" s="346"/>
      <c r="T383" s="346"/>
      <c r="U383" s="346"/>
      <c r="V383" s="346"/>
      <c r="W383" s="346"/>
      <c r="X383" s="346"/>
      <c r="Y383" s="346"/>
      <c r="Z383" s="346"/>
      <c r="AA383" s="346"/>
      <c r="AB383" s="348"/>
      <c r="AC383" s="348"/>
      <c r="AD383" s="351"/>
    </row>
    <row r="384" spans="1:30" s="344" customFormat="1" outlineLevel="1" x14ac:dyDescent="0.35">
      <c r="A384" s="86"/>
      <c r="C384" s="345"/>
      <c r="D384" s="345"/>
      <c r="E384" s="345"/>
      <c r="F384" s="72"/>
      <c r="G384" s="346"/>
      <c r="H384" s="346"/>
      <c r="I384" s="346"/>
      <c r="J384" s="346"/>
      <c r="K384" s="346"/>
      <c r="L384" s="346"/>
      <c r="M384" s="347">
        <v>11</v>
      </c>
      <c r="N384" s="348" t="s">
        <v>171</v>
      </c>
      <c r="O384" s="349">
        <v>31.5</v>
      </c>
      <c r="P384" s="350">
        <v>7046.1</v>
      </c>
      <c r="Q384" s="346"/>
      <c r="R384" s="346"/>
      <c r="S384" s="346"/>
      <c r="T384" s="346"/>
      <c r="U384" s="346"/>
      <c r="V384" s="346"/>
      <c r="W384" s="346"/>
      <c r="X384" s="346"/>
      <c r="Y384" s="346"/>
      <c r="Z384" s="346"/>
      <c r="AA384" s="346"/>
      <c r="AB384" s="348"/>
      <c r="AC384" s="348"/>
      <c r="AD384" s="351"/>
    </row>
    <row r="385" spans="1:30" s="344" customFormat="1" outlineLevel="1" x14ac:dyDescent="0.35">
      <c r="A385" s="86"/>
      <c r="C385" s="345"/>
      <c r="D385" s="345"/>
      <c r="E385" s="345"/>
      <c r="F385" s="72"/>
      <c r="G385" s="346"/>
      <c r="H385" s="346"/>
      <c r="I385" s="346"/>
      <c r="J385" s="346"/>
      <c r="K385" s="346"/>
      <c r="L385" s="346"/>
      <c r="M385" s="347">
        <v>12</v>
      </c>
      <c r="N385" s="348" t="s">
        <v>175</v>
      </c>
      <c r="O385" s="349">
        <v>9.8000000000000007</v>
      </c>
      <c r="P385" s="350">
        <v>2194.6999999999998</v>
      </c>
      <c r="Q385" s="346"/>
      <c r="R385" s="346"/>
      <c r="S385" s="346"/>
      <c r="T385" s="346"/>
      <c r="U385" s="346"/>
      <c r="V385" s="346"/>
      <c r="W385" s="346"/>
      <c r="X385" s="346"/>
      <c r="Y385" s="346"/>
      <c r="Z385" s="346"/>
      <c r="AA385" s="346"/>
      <c r="AB385" s="348"/>
      <c r="AC385" s="348"/>
      <c r="AD385" s="351"/>
    </row>
    <row r="386" spans="1:30" s="344" customFormat="1" outlineLevel="1" x14ac:dyDescent="0.35">
      <c r="A386" s="86"/>
      <c r="C386" s="345"/>
      <c r="D386" s="345"/>
      <c r="E386" s="345"/>
      <c r="F386" s="72"/>
      <c r="G386" s="346"/>
      <c r="H386" s="346"/>
      <c r="I386" s="346"/>
      <c r="J386" s="346"/>
      <c r="K386" s="346"/>
      <c r="L386" s="346"/>
      <c r="M386" s="347">
        <v>13</v>
      </c>
      <c r="N386" s="348" t="s">
        <v>179</v>
      </c>
      <c r="O386" s="349">
        <v>7.2</v>
      </c>
      <c r="P386" s="350">
        <v>1617.1</v>
      </c>
      <c r="Q386" s="346"/>
      <c r="R386" s="346"/>
      <c r="S386" s="346"/>
      <c r="T386" s="346"/>
      <c r="U386" s="346"/>
      <c r="V386" s="346"/>
      <c r="W386" s="346"/>
      <c r="X386" s="346"/>
      <c r="Y386" s="346"/>
      <c r="Z386" s="346"/>
      <c r="AA386" s="346"/>
      <c r="AB386" s="348"/>
      <c r="AC386" s="348"/>
      <c r="AD386" s="351"/>
    </row>
    <row r="387" spans="1:30" s="344" customFormat="1" outlineLevel="1" x14ac:dyDescent="0.35">
      <c r="A387" s="86"/>
      <c r="C387" s="345"/>
      <c r="D387" s="345"/>
      <c r="E387" s="345"/>
      <c r="F387" s="72"/>
      <c r="G387" s="346"/>
      <c r="H387" s="346"/>
      <c r="I387" s="346"/>
      <c r="J387" s="346"/>
      <c r="K387" s="346"/>
      <c r="L387" s="346"/>
      <c r="M387" s="347">
        <v>14</v>
      </c>
      <c r="N387" s="348" t="s">
        <v>183</v>
      </c>
      <c r="O387" s="349">
        <v>7.2</v>
      </c>
      <c r="P387" s="350">
        <v>1617.1</v>
      </c>
      <c r="Q387" s="346"/>
      <c r="R387" s="346"/>
      <c r="S387" s="346"/>
      <c r="T387" s="346"/>
      <c r="U387" s="346"/>
      <c r="V387" s="346"/>
      <c r="W387" s="346"/>
      <c r="X387" s="346"/>
      <c r="Y387" s="346"/>
      <c r="Z387" s="346"/>
      <c r="AA387" s="346"/>
      <c r="AB387" s="348"/>
      <c r="AC387" s="348"/>
      <c r="AD387" s="351"/>
    </row>
    <row r="388" spans="1:30" s="275" customFormat="1" outlineLevel="1" x14ac:dyDescent="0.35">
      <c r="A388" s="274"/>
      <c r="C388" s="276"/>
      <c r="D388" s="276"/>
      <c r="E388" s="276"/>
      <c r="F388" s="277"/>
      <c r="G388" s="278"/>
      <c r="H388" s="278"/>
      <c r="I388" s="278"/>
      <c r="J388" s="278"/>
      <c r="K388" s="278"/>
      <c r="L388" s="278"/>
      <c r="M388" s="279" t="s">
        <v>23</v>
      </c>
      <c r="N388" s="280" t="s">
        <v>206</v>
      </c>
      <c r="O388" s="281">
        <v>127.4</v>
      </c>
      <c r="P388" s="282">
        <v>28530.9</v>
      </c>
      <c r="Q388" s="278"/>
      <c r="R388" s="278"/>
      <c r="S388" s="278"/>
      <c r="T388" s="278"/>
      <c r="U388" s="278"/>
      <c r="V388" s="278"/>
      <c r="W388" s="278"/>
      <c r="X388" s="278"/>
      <c r="Y388" s="278"/>
      <c r="Z388" s="278"/>
      <c r="AA388" s="278"/>
      <c r="AB388" s="280"/>
      <c r="AC388" s="280"/>
      <c r="AD388" s="283"/>
    </row>
    <row r="389" spans="1:30" s="344" customFormat="1" outlineLevel="1" x14ac:dyDescent="0.35">
      <c r="A389" s="86"/>
      <c r="C389" s="345"/>
      <c r="D389" s="345"/>
      <c r="E389" s="345"/>
      <c r="F389" s="72"/>
      <c r="G389" s="346"/>
      <c r="H389" s="346"/>
      <c r="I389" s="346"/>
      <c r="J389" s="346"/>
      <c r="K389" s="346"/>
      <c r="L389" s="346"/>
      <c r="M389" s="347">
        <v>15</v>
      </c>
      <c r="N389" s="348" t="s">
        <v>163</v>
      </c>
      <c r="O389" s="349">
        <v>28.9</v>
      </c>
      <c r="P389" s="350">
        <v>6468.5</v>
      </c>
      <c r="Q389" s="346"/>
      <c r="R389" s="346"/>
      <c r="S389" s="346"/>
      <c r="T389" s="346"/>
      <c r="U389" s="346"/>
      <c r="V389" s="346"/>
      <c r="W389" s="346"/>
      <c r="X389" s="346"/>
      <c r="Y389" s="346"/>
      <c r="Z389" s="346"/>
      <c r="AA389" s="346"/>
      <c r="AB389" s="348"/>
      <c r="AC389" s="348"/>
      <c r="AD389" s="351"/>
    </row>
    <row r="390" spans="1:30" s="344" customFormat="1" outlineLevel="1" x14ac:dyDescent="0.35">
      <c r="A390" s="86"/>
      <c r="C390" s="345"/>
      <c r="D390" s="345"/>
      <c r="E390" s="345"/>
      <c r="F390" s="72"/>
      <c r="G390" s="346"/>
      <c r="H390" s="346"/>
      <c r="I390" s="346"/>
      <c r="J390" s="346"/>
      <c r="K390" s="346"/>
      <c r="L390" s="346"/>
      <c r="M390" s="347">
        <v>16</v>
      </c>
      <c r="N390" s="348" t="s">
        <v>166</v>
      </c>
      <c r="O390" s="349">
        <v>11.3</v>
      </c>
      <c r="P390" s="350">
        <v>2541.1999999999998</v>
      </c>
      <c r="Q390" s="346"/>
      <c r="R390" s="346"/>
      <c r="S390" s="346"/>
      <c r="T390" s="346"/>
      <c r="U390" s="346"/>
      <c r="V390" s="346"/>
      <c r="W390" s="346"/>
      <c r="X390" s="346"/>
      <c r="Y390" s="346"/>
      <c r="Z390" s="346"/>
      <c r="AA390" s="346"/>
      <c r="AB390" s="348"/>
      <c r="AC390" s="348"/>
      <c r="AD390" s="351"/>
    </row>
    <row r="391" spans="1:30" s="344" customFormat="1" outlineLevel="1" x14ac:dyDescent="0.35">
      <c r="A391" s="86"/>
      <c r="C391" s="345"/>
      <c r="D391" s="345"/>
      <c r="E391" s="345"/>
      <c r="F391" s="72"/>
      <c r="G391" s="346"/>
      <c r="H391" s="346"/>
      <c r="I391" s="346"/>
      <c r="J391" s="346"/>
      <c r="K391" s="346"/>
      <c r="L391" s="346"/>
      <c r="M391" s="347">
        <v>17</v>
      </c>
      <c r="N391" s="348" t="s">
        <v>171</v>
      </c>
      <c r="O391" s="349">
        <v>47.4</v>
      </c>
      <c r="P391" s="350">
        <v>10626.9</v>
      </c>
      <c r="Q391" s="346"/>
      <c r="R391" s="346"/>
      <c r="S391" s="346"/>
      <c r="T391" s="346"/>
      <c r="U391" s="346"/>
      <c r="V391" s="346"/>
      <c r="W391" s="346"/>
      <c r="X391" s="346"/>
      <c r="Y391" s="346"/>
      <c r="Z391" s="346"/>
      <c r="AA391" s="346"/>
      <c r="AB391" s="348"/>
      <c r="AC391" s="348"/>
      <c r="AD391" s="351"/>
    </row>
    <row r="392" spans="1:30" s="344" customFormat="1" outlineLevel="1" x14ac:dyDescent="0.35">
      <c r="A392" s="86"/>
      <c r="C392" s="345"/>
      <c r="D392" s="345"/>
      <c r="E392" s="345"/>
      <c r="F392" s="72"/>
      <c r="G392" s="346"/>
      <c r="H392" s="346"/>
      <c r="I392" s="346"/>
      <c r="J392" s="346"/>
      <c r="K392" s="346"/>
      <c r="L392" s="346"/>
      <c r="M392" s="347">
        <v>18</v>
      </c>
      <c r="N392" s="348" t="s">
        <v>175</v>
      </c>
      <c r="O392" s="349">
        <v>19.100000000000001</v>
      </c>
      <c r="P392" s="350">
        <v>4273.8999999999996</v>
      </c>
      <c r="Q392" s="346"/>
      <c r="R392" s="346"/>
      <c r="S392" s="346"/>
      <c r="T392" s="346"/>
      <c r="U392" s="346"/>
      <c r="V392" s="346"/>
      <c r="W392" s="346"/>
      <c r="X392" s="346"/>
      <c r="Y392" s="346"/>
      <c r="Z392" s="346"/>
      <c r="AA392" s="346"/>
      <c r="AB392" s="348"/>
      <c r="AC392" s="348"/>
      <c r="AD392" s="351"/>
    </row>
    <row r="393" spans="1:30" s="344" customFormat="1" outlineLevel="1" x14ac:dyDescent="0.35">
      <c r="A393" s="86"/>
      <c r="C393" s="345"/>
      <c r="D393" s="345"/>
      <c r="E393" s="345"/>
      <c r="F393" s="72"/>
      <c r="G393" s="346"/>
      <c r="H393" s="346"/>
      <c r="I393" s="346"/>
      <c r="J393" s="346"/>
      <c r="K393" s="346"/>
      <c r="L393" s="346"/>
      <c r="M393" s="347">
        <v>19</v>
      </c>
      <c r="N393" s="348" t="s">
        <v>179</v>
      </c>
      <c r="O393" s="349">
        <v>11.3</v>
      </c>
      <c r="P393" s="350">
        <v>2541.1999999999998</v>
      </c>
      <c r="Q393" s="346"/>
      <c r="R393" s="346"/>
      <c r="S393" s="346"/>
      <c r="T393" s="346"/>
      <c r="U393" s="346"/>
      <c r="V393" s="346"/>
      <c r="W393" s="346"/>
      <c r="X393" s="346"/>
      <c r="Y393" s="346"/>
      <c r="Z393" s="346"/>
      <c r="AA393" s="346"/>
      <c r="AB393" s="348"/>
      <c r="AC393" s="348"/>
      <c r="AD393" s="351"/>
    </row>
    <row r="394" spans="1:30" s="344" customFormat="1" outlineLevel="1" x14ac:dyDescent="0.35">
      <c r="A394" s="86"/>
      <c r="C394" s="345"/>
      <c r="D394" s="345"/>
      <c r="E394" s="345"/>
      <c r="F394" s="72"/>
      <c r="G394" s="346"/>
      <c r="H394" s="346"/>
      <c r="I394" s="346"/>
      <c r="J394" s="346"/>
      <c r="K394" s="346"/>
      <c r="L394" s="346"/>
      <c r="M394" s="347">
        <v>20</v>
      </c>
      <c r="N394" s="348" t="s">
        <v>183</v>
      </c>
      <c r="O394" s="349">
        <v>9.3000000000000007</v>
      </c>
      <c r="P394" s="350">
        <v>2079.1999999999998</v>
      </c>
      <c r="Q394" s="346"/>
      <c r="R394" s="346"/>
      <c r="S394" s="346"/>
      <c r="T394" s="346"/>
      <c r="U394" s="346"/>
      <c r="V394" s="346"/>
      <c r="W394" s="346"/>
      <c r="X394" s="346"/>
      <c r="Y394" s="346"/>
      <c r="Z394" s="346"/>
      <c r="AA394" s="346"/>
      <c r="AB394" s="348"/>
      <c r="AC394" s="348"/>
      <c r="AD394" s="351"/>
    </row>
    <row r="395" spans="1:30" s="275" customFormat="1" outlineLevel="1" x14ac:dyDescent="0.35">
      <c r="A395" s="274"/>
      <c r="C395" s="276"/>
      <c r="D395" s="276"/>
      <c r="E395" s="276"/>
      <c r="F395" s="277"/>
      <c r="G395" s="278"/>
      <c r="H395" s="278"/>
      <c r="I395" s="278"/>
      <c r="J395" s="278"/>
      <c r="K395" s="278"/>
      <c r="L395" s="278"/>
      <c r="M395" s="279" t="s">
        <v>23</v>
      </c>
      <c r="N395" s="280" t="s">
        <v>225</v>
      </c>
      <c r="O395" s="281">
        <v>81.5</v>
      </c>
      <c r="P395" s="282">
        <v>18250.5</v>
      </c>
      <c r="Q395" s="278"/>
      <c r="R395" s="278"/>
      <c r="S395" s="278"/>
      <c r="T395" s="278"/>
      <c r="U395" s="278"/>
      <c r="V395" s="278"/>
      <c r="W395" s="278"/>
      <c r="X395" s="278"/>
      <c r="Y395" s="278"/>
      <c r="Z395" s="278"/>
      <c r="AA395" s="278"/>
      <c r="AB395" s="280"/>
      <c r="AC395" s="280"/>
      <c r="AD395" s="283"/>
    </row>
    <row r="396" spans="1:30" s="344" customFormat="1" outlineLevel="1" x14ac:dyDescent="0.35">
      <c r="A396" s="86"/>
      <c r="C396" s="345"/>
      <c r="D396" s="345"/>
      <c r="E396" s="345"/>
      <c r="F396" s="72"/>
      <c r="G396" s="346"/>
      <c r="H396" s="346"/>
      <c r="I396" s="346"/>
      <c r="J396" s="346"/>
      <c r="K396" s="346"/>
      <c r="L396" s="346"/>
      <c r="M396" s="347">
        <v>21</v>
      </c>
      <c r="N396" s="348" t="s">
        <v>163</v>
      </c>
      <c r="O396" s="349">
        <v>14.4</v>
      </c>
      <c r="P396" s="350">
        <v>3234.3</v>
      </c>
      <c r="Q396" s="346"/>
      <c r="R396" s="346"/>
      <c r="S396" s="346"/>
      <c r="T396" s="346"/>
      <c r="U396" s="346"/>
      <c r="V396" s="346"/>
      <c r="W396" s="346"/>
      <c r="X396" s="346"/>
      <c r="Y396" s="346"/>
      <c r="Z396" s="346"/>
      <c r="AA396" s="346"/>
      <c r="AB396" s="348"/>
      <c r="AC396" s="348"/>
      <c r="AD396" s="351"/>
    </row>
    <row r="397" spans="1:30" s="344" customFormat="1" outlineLevel="1" x14ac:dyDescent="0.35">
      <c r="A397" s="86"/>
      <c r="C397" s="345"/>
      <c r="D397" s="345"/>
      <c r="E397" s="345"/>
      <c r="F397" s="72"/>
      <c r="G397" s="346"/>
      <c r="H397" s="346"/>
      <c r="I397" s="346"/>
      <c r="J397" s="346"/>
      <c r="K397" s="346"/>
      <c r="L397" s="346"/>
      <c r="M397" s="347">
        <v>22</v>
      </c>
      <c r="N397" s="348" t="s">
        <v>166</v>
      </c>
      <c r="O397" s="349">
        <v>9.3000000000000007</v>
      </c>
      <c r="P397" s="350">
        <v>2079.1999999999998</v>
      </c>
      <c r="Q397" s="346"/>
      <c r="R397" s="346"/>
      <c r="S397" s="346"/>
      <c r="T397" s="346"/>
      <c r="U397" s="346"/>
      <c r="V397" s="346"/>
      <c r="W397" s="346"/>
      <c r="X397" s="346"/>
      <c r="Y397" s="346"/>
      <c r="Z397" s="346"/>
      <c r="AA397" s="346"/>
      <c r="AB397" s="348"/>
      <c r="AC397" s="348"/>
      <c r="AD397" s="351"/>
    </row>
    <row r="398" spans="1:30" s="344" customFormat="1" outlineLevel="1" x14ac:dyDescent="0.35">
      <c r="A398" s="86"/>
      <c r="C398" s="345"/>
      <c r="D398" s="345"/>
      <c r="E398" s="345"/>
      <c r="F398" s="72"/>
      <c r="G398" s="346"/>
      <c r="H398" s="346"/>
      <c r="I398" s="346"/>
      <c r="J398" s="346"/>
      <c r="K398" s="346"/>
      <c r="L398" s="346"/>
      <c r="M398" s="347">
        <v>23</v>
      </c>
      <c r="N398" s="348" t="s">
        <v>171</v>
      </c>
      <c r="O398" s="349">
        <v>31.5</v>
      </c>
      <c r="P398" s="350">
        <v>7046.1</v>
      </c>
      <c r="Q398" s="346"/>
      <c r="R398" s="346"/>
      <c r="S398" s="346"/>
      <c r="T398" s="346"/>
      <c r="U398" s="346"/>
      <c r="V398" s="346"/>
      <c r="W398" s="346"/>
      <c r="X398" s="346"/>
      <c r="Y398" s="346"/>
      <c r="Z398" s="346"/>
      <c r="AA398" s="346"/>
      <c r="AB398" s="348"/>
      <c r="AC398" s="348"/>
      <c r="AD398" s="351"/>
    </row>
    <row r="399" spans="1:30" s="344" customFormat="1" outlineLevel="1" x14ac:dyDescent="0.35">
      <c r="A399" s="86"/>
      <c r="C399" s="345"/>
      <c r="D399" s="345"/>
      <c r="E399" s="345"/>
      <c r="F399" s="72"/>
      <c r="G399" s="346"/>
      <c r="H399" s="346"/>
      <c r="I399" s="346"/>
      <c r="J399" s="346"/>
      <c r="K399" s="346"/>
      <c r="L399" s="346"/>
      <c r="M399" s="347">
        <v>24</v>
      </c>
      <c r="N399" s="348" t="s">
        <v>175</v>
      </c>
      <c r="O399" s="349">
        <v>11.9</v>
      </c>
      <c r="P399" s="350">
        <v>2656.7</v>
      </c>
      <c r="Q399" s="346"/>
      <c r="R399" s="346"/>
      <c r="S399" s="346"/>
      <c r="T399" s="346"/>
      <c r="U399" s="346"/>
      <c r="V399" s="346"/>
      <c r="W399" s="346"/>
      <c r="X399" s="346"/>
      <c r="Y399" s="346"/>
      <c r="Z399" s="346"/>
      <c r="AA399" s="346"/>
      <c r="AB399" s="348"/>
      <c r="AC399" s="348"/>
      <c r="AD399" s="351"/>
    </row>
    <row r="400" spans="1:30" s="344" customFormat="1" outlineLevel="1" x14ac:dyDescent="0.35">
      <c r="A400" s="86"/>
      <c r="C400" s="345"/>
      <c r="D400" s="345"/>
      <c r="E400" s="345"/>
      <c r="F400" s="72"/>
      <c r="G400" s="346"/>
      <c r="H400" s="346"/>
      <c r="I400" s="346"/>
      <c r="J400" s="346"/>
      <c r="K400" s="346"/>
      <c r="L400" s="346"/>
      <c r="M400" s="347">
        <v>25</v>
      </c>
      <c r="N400" s="348" t="s">
        <v>179</v>
      </c>
      <c r="O400" s="349">
        <v>7.2</v>
      </c>
      <c r="P400" s="350">
        <v>1617.1</v>
      </c>
      <c r="Q400" s="346"/>
      <c r="R400" s="346"/>
      <c r="S400" s="346"/>
      <c r="T400" s="346"/>
      <c r="U400" s="346"/>
      <c r="V400" s="346"/>
      <c r="W400" s="346"/>
      <c r="X400" s="346"/>
      <c r="Y400" s="346"/>
      <c r="Z400" s="346"/>
      <c r="AA400" s="346"/>
      <c r="AB400" s="348"/>
      <c r="AC400" s="348"/>
      <c r="AD400" s="351"/>
    </row>
    <row r="401" spans="1:30" s="344" customFormat="1" outlineLevel="1" x14ac:dyDescent="0.35">
      <c r="A401" s="86"/>
      <c r="C401" s="345"/>
      <c r="D401" s="345"/>
      <c r="E401" s="345"/>
      <c r="F401" s="72"/>
      <c r="G401" s="346"/>
      <c r="H401" s="346"/>
      <c r="I401" s="346"/>
      <c r="J401" s="346"/>
      <c r="K401" s="346"/>
      <c r="L401" s="346"/>
      <c r="M401" s="347">
        <v>26</v>
      </c>
      <c r="N401" s="348" t="s">
        <v>183</v>
      </c>
      <c r="O401" s="349">
        <v>7.2</v>
      </c>
      <c r="P401" s="350">
        <v>1617.1</v>
      </c>
      <c r="Q401" s="346"/>
      <c r="R401" s="346"/>
      <c r="S401" s="346"/>
      <c r="T401" s="346"/>
      <c r="U401" s="346"/>
      <c r="V401" s="346"/>
      <c r="W401" s="346"/>
      <c r="X401" s="346"/>
      <c r="Y401" s="346"/>
      <c r="Z401" s="346"/>
      <c r="AA401" s="346"/>
      <c r="AB401" s="348"/>
      <c r="AC401" s="348"/>
      <c r="AD401" s="351"/>
    </row>
    <row r="402" spans="1:30" s="275" customFormat="1" outlineLevel="1" x14ac:dyDescent="0.35">
      <c r="A402" s="274"/>
      <c r="C402" s="276"/>
      <c r="D402" s="276"/>
      <c r="E402" s="276"/>
      <c r="F402" s="277"/>
      <c r="G402" s="278"/>
      <c r="H402" s="278"/>
      <c r="I402" s="278"/>
      <c r="J402" s="278"/>
      <c r="K402" s="278"/>
      <c r="L402" s="278"/>
      <c r="M402" s="279" t="s">
        <v>23</v>
      </c>
      <c r="N402" s="280" t="s">
        <v>244</v>
      </c>
      <c r="O402" s="281">
        <v>105.2</v>
      </c>
      <c r="P402" s="282">
        <v>23563.9</v>
      </c>
      <c r="Q402" s="278"/>
      <c r="R402" s="278"/>
      <c r="S402" s="278"/>
      <c r="T402" s="278"/>
      <c r="U402" s="278"/>
      <c r="V402" s="278"/>
      <c r="W402" s="278"/>
      <c r="X402" s="278"/>
      <c r="Y402" s="278"/>
      <c r="Z402" s="278"/>
      <c r="AA402" s="278"/>
      <c r="AB402" s="280"/>
      <c r="AC402" s="280"/>
      <c r="AD402" s="283"/>
    </row>
    <row r="403" spans="1:30" s="344" customFormat="1" outlineLevel="1" x14ac:dyDescent="0.35">
      <c r="A403" s="86"/>
      <c r="C403" s="345"/>
      <c r="D403" s="345"/>
      <c r="E403" s="345"/>
      <c r="F403" s="72"/>
      <c r="G403" s="346"/>
      <c r="H403" s="346"/>
      <c r="I403" s="346"/>
      <c r="J403" s="346"/>
      <c r="K403" s="346"/>
      <c r="L403" s="346"/>
      <c r="M403" s="347">
        <v>27</v>
      </c>
      <c r="N403" s="348" t="s">
        <v>163</v>
      </c>
      <c r="O403" s="349">
        <v>11.3</v>
      </c>
      <c r="P403" s="350">
        <v>2541.1999999999998</v>
      </c>
      <c r="Q403" s="346"/>
      <c r="R403" s="346"/>
      <c r="S403" s="346"/>
      <c r="T403" s="346"/>
      <c r="U403" s="346"/>
      <c r="V403" s="346"/>
      <c r="W403" s="346"/>
      <c r="X403" s="346"/>
      <c r="Y403" s="346"/>
      <c r="Z403" s="346"/>
      <c r="AA403" s="346"/>
      <c r="AB403" s="348"/>
      <c r="AC403" s="348"/>
      <c r="AD403" s="351"/>
    </row>
    <row r="404" spans="1:30" s="344" customFormat="1" outlineLevel="1" x14ac:dyDescent="0.35">
      <c r="A404" s="86"/>
      <c r="C404" s="345"/>
      <c r="D404" s="345"/>
      <c r="E404" s="345"/>
      <c r="F404" s="72"/>
      <c r="G404" s="346"/>
      <c r="H404" s="346"/>
      <c r="I404" s="346"/>
      <c r="J404" s="346"/>
      <c r="K404" s="346"/>
      <c r="L404" s="346"/>
      <c r="M404" s="347">
        <v>28</v>
      </c>
      <c r="N404" s="348" t="s">
        <v>166</v>
      </c>
      <c r="O404" s="349">
        <v>7.2</v>
      </c>
      <c r="P404" s="350">
        <v>1617.1</v>
      </c>
      <c r="Q404" s="346"/>
      <c r="R404" s="346"/>
      <c r="S404" s="346"/>
      <c r="T404" s="346"/>
      <c r="U404" s="346"/>
      <c r="V404" s="346"/>
      <c r="W404" s="346"/>
      <c r="X404" s="346"/>
      <c r="Y404" s="346"/>
      <c r="Z404" s="346"/>
      <c r="AA404" s="346"/>
      <c r="AB404" s="348"/>
      <c r="AC404" s="348"/>
      <c r="AD404" s="351"/>
    </row>
    <row r="405" spans="1:30" s="344" customFormat="1" outlineLevel="1" x14ac:dyDescent="0.35">
      <c r="A405" s="86"/>
      <c r="C405" s="345"/>
      <c r="D405" s="345"/>
      <c r="E405" s="345"/>
      <c r="F405" s="72"/>
      <c r="G405" s="346"/>
      <c r="H405" s="346"/>
      <c r="I405" s="346"/>
      <c r="J405" s="346"/>
      <c r="K405" s="346"/>
      <c r="L405" s="346"/>
      <c r="M405" s="347">
        <v>29</v>
      </c>
      <c r="N405" s="348" t="s">
        <v>171</v>
      </c>
      <c r="O405" s="349">
        <v>41.3</v>
      </c>
      <c r="P405" s="350">
        <v>9240.7999999999993</v>
      </c>
      <c r="Q405" s="346"/>
      <c r="R405" s="346"/>
      <c r="S405" s="346"/>
      <c r="T405" s="346"/>
      <c r="U405" s="346"/>
      <c r="V405" s="346"/>
      <c r="W405" s="346"/>
      <c r="X405" s="346"/>
      <c r="Y405" s="346"/>
      <c r="Z405" s="346"/>
      <c r="AA405" s="346"/>
      <c r="AB405" s="348"/>
      <c r="AC405" s="348"/>
      <c r="AD405" s="351"/>
    </row>
    <row r="406" spans="1:30" s="344" customFormat="1" outlineLevel="1" x14ac:dyDescent="0.35">
      <c r="A406" s="86"/>
      <c r="C406" s="345"/>
      <c r="D406" s="345"/>
      <c r="E406" s="345"/>
      <c r="F406" s="72"/>
      <c r="G406" s="346"/>
      <c r="H406" s="346"/>
      <c r="I406" s="346"/>
      <c r="J406" s="346"/>
      <c r="K406" s="346"/>
      <c r="L406" s="346"/>
      <c r="M406" s="347">
        <v>30</v>
      </c>
      <c r="N406" s="348" t="s">
        <v>175</v>
      </c>
      <c r="O406" s="349">
        <v>19.100000000000001</v>
      </c>
      <c r="P406" s="350">
        <v>4273.8999999999996</v>
      </c>
      <c r="Q406" s="346"/>
      <c r="R406" s="346"/>
      <c r="S406" s="346"/>
      <c r="T406" s="346"/>
      <c r="U406" s="346"/>
      <c r="V406" s="346"/>
      <c r="W406" s="346"/>
      <c r="X406" s="346"/>
      <c r="Y406" s="346"/>
      <c r="Z406" s="346"/>
      <c r="AA406" s="346"/>
      <c r="AB406" s="348"/>
      <c r="AC406" s="348"/>
      <c r="AD406" s="351"/>
    </row>
    <row r="407" spans="1:30" s="344" customFormat="1" outlineLevel="1" x14ac:dyDescent="0.35">
      <c r="A407" s="86"/>
      <c r="C407" s="345"/>
      <c r="D407" s="345"/>
      <c r="E407" s="345"/>
      <c r="F407" s="72"/>
      <c r="G407" s="346"/>
      <c r="H407" s="346"/>
      <c r="I407" s="346"/>
      <c r="J407" s="346"/>
      <c r="K407" s="346"/>
      <c r="L407" s="346"/>
      <c r="M407" s="347">
        <v>31</v>
      </c>
      <c r="N407" s="348" t="s">
        <v>179</v>
      </c>
      <c r="O407" s="349">
        <v>19.100000000000001</v>
      </c>
      <c r="P407" s="350">
        <v>4273.8999999999996</v>
      </c>
      <c r="Q407" s="346"/>
      <c r="R407" s="346"/>
      <c r="S407" s="346"/>
      <c r="T407" s="346"/>
      <c r="U407" s="346"/>
      <c r="V407" s="346"/>
      <c r="W407" s="346"/>
      <c r="X407" s="346"/>
      <c r="Y407" s="346"/>
      <c r="Z407" s="346"/>
      <c r="AA407" s="346"/>
      <c r="AB407" s="348"/>
      <c r="AC407" s="348"/>
      <c r="AD407" s="351"/>
    </row>
    <row r="408" spans="1:30" s="344" customFormat="1" outlineLevel="1" x14ac:dyDescent="0.35">
      <c r="A408" s="86"/>
      <c r="C408" s="345"/>
      <c r="D408" s="345"/>
      <c r="E408" s="345"/>
      <c r="F408" s="72"/>
      <c r="G408" s="346"/>
      <c r="H408" s="346"/>
      <c r="I408" s="346"/>
      <c r="J408" s="346"/>
      <c r="K408" s="346"/>
      <c r="L408" s="346"/>
      <c r="M408" s="347">
        <v>32</v>
      </c>
      <c r="N408" s="348" t="s">
        <v>183</v>
      </c>
      <c r="O408" s="349">
        <v>7.2</v>
      </c>
      <c r="P408" s="350">
        <v>1617.1</v>
      </c>
      <c r="Q408" s="346"/>
      <c r="R408" s="346"/>
      <c r="S408" s="346"/>
      <c r="T408" s="346"/>
      <c r="U408" s="346"/>
      <c r="V408" s="346"/>
      <c r="W408" s="346"/>
      <c r="X408" s="346"/>
      <c r="Y408" s="346"/>
      <c r="Z408" s="346"/>
      <c r="AA408" s="346"/>
      <c r="AB408" s="348"/>
      <c r="AC408" s="348"/>
      <c r="AD408" s="351"/>
    </row>
    <row r="409" spans="1:30" s="275" customFormat="1" outlineLevel="1" x14ac:dyDescent="0.35">
      <c r="A409" s="274"/>
      <c r="C409" s="276"/>
      <c r="D409" s="276"/>
      <c r="E409" s="276"/>
      <c r="F409" s="277"/>
      <c r="G409" s="278"/>
      <c r="H409" s="278"/>
      <c r="I409" s="278"/>
      <c r="J409" s="278"/>
      <c r="K409" s="278"/>
      <c r="L409" s="278"/>
      <c r="M409" s="279" t="s">
        <v>23</v>
      </c>
      <c r="N409" s="280" t="s">
        <v>264</v>
      </c>
      <c r="O409" s="281">
        <v>57.2</v>
      </c>
      <c r="P409" s="282">
        <v>12821.6</v>
      </c>
      <c r="Q409" s="278"/>
      <c r="R409" s="278"/>
      <c r="S409" s="278"/>
      <c r="T409" s="278"/>
      <c r="U409" s="278"/>
      <c r="V409" s="278"/>
      <c r="W409" s="278"/>
      <c r="X409" s="278"/>
      <c r="Y409" s="278"/>
      <c r="Z409" s="278"/>
      <c r="AA409" s="278"/>
      <c r="AB409" s="280"/>
      <c r="AC409" s="280"/>
      <c r="AD409" s="283"/>
    </row>
    <row r="410" spans="1:30" s="344" customFormat="1" outlineLevel="1" x14ac:dyDescent="0.35">
      <c r="A410" s="86"/>
      <c r="C410" s="345"/>
      <c r="D410" s="345"/>
      <c r="E410" s="345"/>
      <c r="F410" s="72"/>
      <c r="G410" s="346"/>
      <c r="H410" s="346"/>
      <c r="I410" s="346"/>
      <c r="J410" s="346"/>
      <c r="K410" s="346"/>
      <c r="L410" s="346"/>
      <c r="M410" s="347">
        <v>33</v>
      </c>
      <c r="N410" s="348" t="s">
        <v>163</v>
      </c>
      <c r="O410" s="349">
        <v>7.2</v>
      </c>
      <c r="P410" s="350">
        <v>1617.1</v>
      </c>
      <c r="Q410" s="346"/>
      <c r="R410" s="346"/>
      <c r="S410" s="346"/>
      <c r="T410" s="346"/>
      <c r="U410" s="346"/>
      <c r="V410" s="346"/>
      <c r="W410" s="346"/>
      <c r="X410" s="346"/>
      <c r="Y410" s="346"/>
      <c r="Z410" s="346"/>
      <c r="AA410" s="346"/>
      <c r="AB410" s="348"/>
      <c r="AC410" s="348"/>
      <c r="AD410" s="351"/>
    </row>
    <row r="411" spans="1:30" s="344" customFormat="1" outlineLevel="1" x14ac:dyDescent="0.35">
      <c r="A411" s="86"/>
      <c r="C411" s="345"/>
      <c r="D411" s="345"/>
      <c r="E411" s="345"/>
      <c r="F411" s="72"/>
      <c r="G411" s="346"/>
      <c r="H411" s="346"/>
      <c r="I411" s="346"/>
      <c r="J411" s="346"/>
      <c r="K411" s="346"/>
      <c r="L411" s="346"/>
      <c r="M411" s="347">
        <v>34</v>
      </c>
      <c r="N411" s="348" t="s">
        <v>166</v>
      </c>
      <c r="O411" s="349">
        <v>7.2</v>
      </c>
      <c r="P411" s="350">
        <v>1617.1</v>
      </c>
      <c r="Q411" s="346"/>
      <c r="R411" s="346"/>
      <c r="S411" s="346"/>
      <c r="T411" s="346"/>
      <c r="U411" s="346"/>
      <c r="V411" s="346"/>
      <c r="W411" s="346"/>
      <c r="X411" s="346"/>
      <c r="Y411" s="346"/>
      <c r="Z411" s="346"/>
      <c r="AA411" s="346"/>
      <c r="AB411" s="348"/>
      <c r="AC411" s="348"/>
      <c r="AD411" s="351"/>
    </row>
    <row r="412" spans="1:30" s="344" customFormat="1" outlineLevel="1" x14ac:dyDescent="0.35">
      <c r="A412" s="86"/>
      <c r="C412" s="345"/>
      <c r="D412" s="345"/>
      <c r="E412" s="345"/>
      <c r="F412" s="72"/>
      <c r="G412" s="346"/>
      <c r="H412" s="346"/>
      <c r="I412" s="346"/>
      <c r="J412" s="346"/>
      <c r="K412" s="346"/>
      <c r="L412" s="346"/>
      <c r="M412" s="347">
        <v>35</v>
      </c>
      <c r="N412" s="348" t="s">
        <v>171</v>
      </c>
      <c r="O412" s="349">
        <v>26.3</v>
      </c>
      <c r="P412" s="350">
        <v>5891</v>
      </c>
      <c r="Q412" s="346"/>
      <c r="R412" s="346"/>
      <c r="S412" s="346"/>
      <c r="T412" s="346"/>
      <c r="U412" s="346"/>
      <c r="V412" s="346"/>
      <c r="W412" s="346"/>
      <c r="X412" s="346"/>
      <c r="Y412" s="346"/>
      <c r="Z412" s="346"/>
      <c r="AA412" s="346"/>
      <c r="AB412" s="348"/>
      <c r="AC412" s="348"/>
      <c r="AD412" s="351"/>
    </row>
    <row r="413" spans="1:30" s="344" customFormat="1" outlineLevel="1" x14ac:dyDescent="0.35">
      <c r="A413" s="86"/>
      <c r="C413" s="345"/>
      <c r="D413" s="345"/>
      <c r="E413" s="345"/>
      <c r="F413" s="72"/>
      <c r="G413" s="346"/>
      <c r="H413" s="346"/>
      <c r="I413" s="346"/>
      <c r="J413" s="346"/>
      <c r="K413" s="346"/>
      <c r="L413" s="346"/>
      <c r="M413" s="347">
        <v>36</v>
      </c>
      <c r="N413" s="348" t="s">
        <v>175</v>
      </c>
      <c r="O413" s="349">
        <v>7.2</v>
      </c>
      <c r="P413" s="350">
        <v>1617.1</v>
      </c>
      <c r="Q413" s="346"/>
      <c r="R413" s="346"/>
      <c r="S413" s="346"/>
      <c r="T413" s="346"/>
      <c r="U413" s="346"/>
      <c r="V413" s="346"/>
      <c r="W413" s="346"/>
      <c r="X413" s="346"/>
      <c r="Y413" s="346"/>
      <c r="Z413" s="346"/>
      <c r="AA413" s="346"/>
      <c r="AB413" s="348"/>
      <c r="AC413" s="348"/>
      <c r="AD413" s="351"/>
    </row>
    <row r="414" spans="1:30" s="344" customFormat="1" outlineLevel="1" x14ac:dyDescent="0.35">
      <c r="A414" s="86"/>
      <c r="C414" s="345"/>
      <c r="D414" s="345"/>
      <c r="E414" s="345"/>
      <c r="F414" s="72"/>
      <c r="G414" s="346"/>
      <c r="H414" s="346"/>
      <c r="I414" s="346"/>
      <c r="J414" s="346"/>
      <c r="K414" s="346"/>
      <c r="L414" s="346"/>
      <c r="M414" s="347">
        <v>37</v>
      </c>
      <c r="N414" s="348" t="s">
        <v>179</v>
      </c>
      <c r="O414" s="349">
        <v>4.5999999999999996</v>
      </c>
      <c r="P414" s="350">
        <v>1039.5999999999999</v>
      </c>
      <c r="Q414" s="346"/>
      <c r="R414" s="346"/>
      <c r="S414" s="346"/>
      <c r="T414" s="346"/>
      <c r="U414" s="346"/>
      <c r="V414" s="346"/>
      <c r="W414" s="346"/>
      <c r="X414" s="346"/>
      <c r="Y414" s="346"/>
      <c r="Z414" s="346"/>
      <c r="AA414" s="346"/>
      <c r="AB414" s="348"/>
      <c r="AC414" s="348"/>
      <c r="AD414" s="351"/>
    </row>
    <row r="415" spans="1:30" s="344" customFormat="1" outlineLevel="1" x14ac:dyDescent="0.35">
      <c r="A415" s="86"/>
      <c r="C415" s="345"/>
      <c r="D415" s="345"/>
      <c r="E415" s="345"/>
      <c r="F415" s="72"/>
      <c r="G415" s="346"/>
      <c r="H415" s="346"/>
      <c r="I415" s="346"/>
      <c r="J415" s="346"/>
      <c r="K415" s="346"/>
      <c r="L415" s="346"/>
      <c r="M415" s="347">
        <v>38</v>
      </c>
      <c r="N415" s="348" t="s">
        <v>183</v>
      </c>
      <c r="O415" s="349">
        <v>4.5999999999999996</v>
      </c>
      <c r="P415" s="350">
        <v>1039.5999999999999</v>
      </c>
      <c r="Q415" s="346"/>
      <c r="R415" s="346"/>
      <c r="S415" s="346"/>
      <c r="T415" s="346"/>
      <c r="U415" s="346"/>
      <c r="V415" s="346"/>
      <c r="W415" s="346"/>
      <c r="X415" s="346"/>
      <c r="Y415" s="346"/>
      <c r="Z415" s="346"/>
      <c r="AA415" s="346"/>
      <c r="AB415" s="348"/>
      <c r="AC415" s="348"/>
      <c r="AD415" s="351"/>
    </row>
    <row r="416" spans="1:30" s="275" customFormat="1" outlineLevel="1" x14ac:dyDescent="0.35">
      <c r="A416" s="274"/>
      <c r="C416" s="276"/>
      <c r="D416" s="276"/>
      <c r="E416" s="276"/>
      <c r="F416" s="277"/>
      <c r="G416" s="278"/>
      <c r="H416" s="278"/>
      <c r="I416" s="278"/>
      <c r="J416" s="278"/>
      <c r="K416" s="278"/>
      <c r="L416" s="278"/>
      <c r="M416" s="279" t="s">
        <v>23</v>
      </c>
      <c r="N416" s="280" t="s">
        <v>283</v>
      </c>
      <c r="O416" s="281">
        <v>52.6</v>
      </c>
      <c r="P416" s="282">
        <v>11782</v>
      </c>
      <c r="Q416" s="278"/>
      <c r="R416" s="278"/>
      <c r="S416" s="278"/>
      <c r="T416" s="278"/>
      <c r="U416" s="278"/>
      <c r="V416" s="278"/>
      <c r="W416" s="278"/>
      <c r="X416" s="278"/>
      <c r="Y416" s="278"/>
      <c r="Z416" s="278"/>
      <c r="AA416" s="278"/>
      <c r="AB416" s="280"/>
      <c r="AC416" s="280"/>
      <c r="AD416" s="283"/>
    </row>
    <row r="417" spans="1:30" s="344" customFormat="1" outlineLevel="1" x14ac:dyDescent="0.35">
      <c r="A417" s="86"/>
      <c r="C417" s="345"/>
      <c r="D417" s="345"/>
      <c r="E417" s="345"/>
      <c r="F417" s="72"/>
      <c r="G417" s="346"/>
      <c r="H417" s="346"/>
      <c r="I417" s="346"/>
      <c r="J417" s="346"/>
      <c r="K417" s="346"/>
      <c r="L417" s="346"/>
      <c r="M417" s="347">
        <v>39</v>
      </c>
      <c r="N417" s="348" t="s">
        <v>163</v>
      </c>
      <c r="O417" s="349">
        <v>9.3000000000000007</v>
      </c>
      <c r="P417" s="350">
        <v>2079.1999999999998</v>
      </c>
      <c r="Q417" s="346"/>
      <c r="R417" s="346"/>
      <c r="S417" s="346"/>
      <c r="T417" s="346"/>
      <c r="U417" s="346"/>
      <c r="V417" s="346"/>
      <c r="W417" s="346"/>
      <c r="X417" s="346"/>
      <c r="Y417" s="346"/>
      <c r="Z417" s="346"/>
      <c r="AA417" s="346"/>
      <c r="AB417" s="348"/>
      <c r="AC417" s="348"/>
      <c r="AD417" s="351"/>
    </row>
    <row r="418" spans="1:30" s="344" customFormat="1" outlineLevel="1" x14ac:dyDescent="0.35">
      <c r="A418" s="86"/>
      <c r="C418" s="345"/>
      <c r="D418" s="345"/>
      <c r="E418" s="345"/>
      <c r="F418" s="72"/>
      <c r="G418" s="346"/>
      <c r="H418" s="346"/>
      <c r="I418" s="346"/>
      <c r="J418" s="346"/>
      <c r="K418" s="346"/>
      <c r="L418" s="346"/>
      <c r="M418" s="347">
        <v>40</v>
      </c>
      <c r="N418" s="348" t="s">
        <v>166</v>
      </c>
      <c r="O418" s="349">
        <v>4.5999999999999996</v>
      </c>
      <c r="P418" s="350">
        <v>1039.5999999999999</v>
      </c>
      <c r="Q418" s="346"/>
      <c r="R418" s="346"/>
      <c r="S418" s="346"/>
      <c r="T418" s="346"/>
      <c r="U418" s="346"/>
      <c r="V418" s="346"/>
      <c r="W418" s="346"/>
      <c r="X418" s="346"/>
      <c r="Y418" s="346"/>
      <c r="Z418" s="346"/>
      <c r="AA418" s="346"/>
      <c r="AB418" s="348"/>
      <c r="AC418" s="348"/>
      <c r="AD418" s="351"/>
    </row>
    <row r="419" spans="1:30" s="344" customFormat="1" outlineLevel="1" x14ac:dyDescent="0.35">
      <c r="A419" s="86"/>
      <c r="C419" s="345"/>
      <c r="D419" s="345"/>
      <c r="E419" s="345"/>
      <c r="F419" s="72"/>
      <c r="G419" s="346"/>
      <c r="H419" s="346"/>
      <c r="I419" s="346"/>
      <c r="J419" s="346"/>
      <c r="K419" s="346"/>
      <c r="L419" s="346"/>
      <c r="M419" s="347">
        <v>41</v>
      </c>
      <c r="N419" s="348" t="s">
        <v>171</v>
      </c>
      <c r="O419" s="349">
        <v>22.2</v>
      </c>
      <c r="P419" s="350">
        <v>4966.8999999999996</v>
      </c>
      <c r="Q419" s="346"/>
      <c r="R419" s="346"/>
      <c r="S419" s="346"/>
      <c r="T419" s="346"/>
      <c r="U419" s="346"/>
      <c r="V419" s="346"/>
      <c r="W419" s="346"/>
      <c r="X419" s="346"/>
      <c r="Y419" s="346"/>
      <c r="Z419" s="346"/>
      <c r="AA419" s="346"/>
      <c r="AB419" s="348"/>
      <c r="AC419" s="348"/>
      <c r="AD419" s="351"/>
    </row>
    <row r="420" spans="1:30" s="344" customFormat="1" outlineLevel="1" x14ac:dyDescent="0.35">
      <c r="A420" s="86"/>
      <c r="C420" s="345"/>
      <c r="D420" s="345"/>
      <c r="E420" s="345"/>
      <c r="F420" s="72"/>
      <c r="G420" s="346"/>
      <c r="H420" s="346"/>
      <c r="I420" s="346"/>
      <c r="J420" s="346"/>
      <c r="K420" s="346"/>
      <c r="L420" s="346"/>
      <c r="M420" s="347">
        <v>42</v>
      </c>
      <c r="N420" s="348" t="s">
        <v>175</v>
      </c>
      <c r="O420" s="349">
        <v>7.2</v>
      </c>
      <c r="P420" s="350">
        <v>1617.1</v>
      </c>
      <c r="Q420" s="346"/>
      <c r="R420" s="346"/>
      <c r="S420" s="346"/>
      <c r="T420" s="346"/>
      <c r="U420" s="346"/>
      <c r="V420" s="346"/>
      <c r="W420" s="346"/>
      <c r="X420" s="346"/>
      <c r="Y420" s="346"/>
      <c r="Z420" s="346"/>
      <c r="AA420" s="346"/>
      <c r="AB420" s="348"/>
      <c r="AC420" s="348"/>
      <c r="AD420" s="351"/>
    </row>
    <row r="421" spans="1:30" s="344" customFormat="1" outlineLevel="1" x14ac:dyDescent="0.35">
      <c r="A421" s="86"/>
      <c r="C421" s="345"/>
      <c r="D421" s="345"/>
      <c r="E421" s="345"/>
      <c r="F421" s="72"/>
      <c r="G421" s="346"/>
      <c r="H421" s="346"/>
      <c r="I421" s="346"/>
      <c r="J421" s="346"/>
      <c r="K421" s="346"/>
      <c r="L421" s="346"/>
      <c r="M421" s="347">
        <v>43</v>
      </c>
      <c r="N421" s="348" t="s">
        <v>179</v>
      </c>
      <c r="O421" s="349">
        <v>4.5999999999999996</v>
      </c>
      <c r="P421" s="350">
        <v>1039.5999999999999</v>
      </c>
      <c r="Q421" s="346"/>
      <c r="R421" s="346"/>
      <c r="S421" s="346"/>
      <c r="T421" s="346"/>
      <c r="U421" s="346"/>
      <c r="V421" s="346"/>
      <c r="W421" s="346"/>
      <c r="X421" s="346"/>
      <c r="Y421" s="346"/>
      <c r="Z421" s="346"/>
      <c r="AA421" s="346"/>
      <c r="AB421" s="348"/>
      <c r="AC421" s="348"/>
      <c r="AD421" s="351"/>
    </row>
    <row r="422" spans="1:30" s="344" customFormat="1" outlineLevel="1" x14ac:dyDescent="0.35">
      <c r="A422" s="86"/>
      <c r="C422" s="345"/>
      <c r="D422" s="345"/>
      <c r="E422" s="345"/>
      <c r="F422" s="72"/>
      <c r="G422" s="346"/>
      <c r="H422" s="346"/>
      <c r="I422" s="346"/>
      <c r="J422" s="346"/>
      <c r="K422" s="346"/>
      <c r="L422" s="346"/>
      <c r="M422" s="347">
        <v>44</v>
      </c>
      <c r="N422" s="348" t="s">
        <v>183</v>
      </c>
      <c r="O422" s="349">
        <v>4.5999999999999996</v>
      </c>
      <c r="P422" s="350">
        <v>1039.5999999999999</v>
      </c>
      <c r="Q422" s="346"/>
      <c r="R422" s="346"/>
      <c r="S422" s="346"/>
      <c r="T422" s="346"/>
      <c r="U422" s="346"/>
      <c r="V422" s="346"/>
      <c r="W422" s="346"/>
      <c r="X422" s="346"/>
      <c r="Y422" s="346"/>
      <c r="Z422" s="346"/>
      <c r="AA422" s="346"/>
      <c r="AB422" s="348"/>
      <c r="AC422" s="348"/>
      <c r="AD422" s="351"/>
    </row>
    <row r="423" spans="1:30" s="275" customFormat="1" outlineLevel="1" x14ac:dyDescent="0.35">
      <c r="A423" s="274"/>
      <c r="C423" s="276"/>
      <c r="D423" s="276"/>
      <c r="E423" s="276"/>
      <c r="F423" s="277"/>
      <c r="G423" s="278"/>
      <c r="H423" s="278"/>
      <c r="I423" s="278"/>
      <c r="J423" s="278"/>
      <c r="K423" s="278"/>
      <c r="L423" s="278"/>
      <c r="M423" s="279" t="s">
        <v>23</v>
      </c>
      <c r="N423" s="280" t="s">
        <v>302</v>
      </c>
      <c r="O423" s="281">
        <v>57.2</v>
      </c>
      <c r="P423" s="282">
        <v>12821.6</v>
      </c>
      <c r="Q423" s="278"/>
      <c r="R423" s="278"/>
      <c r="S423" s="278"/>
      <c r="T423" s="278"/>
      <c r="U423" s="278"/>
      <c r="V423" s="278"/>
      <c r="W423" s="278"/>
      <c r="X423" s="278"/>
      <c r="Y423" s="278"/>
      <c r="Z423" s="278"/>
      <c r="AA423" s="278"/>
      <c r="AB423" s="280"/>
      <c r="AC423" s="280"/>
      <c r="AD423" s="283"/>
    </row>
    <row r="424" spans="1:30" s="344" customFormat="1" outlineLevel="1" x14ac:dyDescent="0.35">
      <c r="A424" s="86"/>
      <c r="C424" s="345"/>
      <c r="D424" s="345"/>
      <c r="E424" s="345"/>
      <c r="F424" s="72"/>
      <c r="G424" s="346"/>
      <c r="H424" s="346"/>
      <c r="I424" s="346"/>
      <c r="J424" s="346"/>
      <c r="K424" s="346"/>
      <c r="L424" s="346"/>
      <c r="M424" s="347">
        <v>45</v>
      </c>
      <c r="N424" s="348" t="s">
        <v>166</v>
      </c>
      <c r="O424" s="349">
        <v>7.2</v>
      </c>
      <c r="P424" s="350">
        <v>1617.1</v>
      </c>
      <c r="Q424" s="346"/>
      <c r="R424" s="346"/>
      <c r="S424" s="346"/>
      <c r="T424" s="346"/>
      <c r="U424" s="346"/>
      <c r="V424" s="346"/>
      <c r="W424" s="346"/>
      <c r="X424" s="346"/>
      <c r="Y424" s="346"/>
      <c r="Z424" s="346"/>
      <c r="AA424" s="346"/>
      <c r="AB424" s="348"/>
      <c r="AC424" s="348"/>
      <c r="AD424" s="351"/>
    </row>
    <row r="425" spans="1:30" s="344" customFormat="1" outlineLevel="1" x14ac:dyDescent="0.35">
      <c r="A425" s="86"/>
      <c r="C425" s="345"/>
      <c r="D425" s="345"/>
      <c r="E425" s="345"/>
      <c r="F425" s="72"/>
      <c r="G425" s="346"/>
      <c r="H425" s="346"/>
      <c r="I425" s="346"/>
      <c r="J425" s="346"/>
      <c r="K425" s="346"/>
      <c r="L425" s="346"/>
      <c r="M425" s="347">
        <v>46</v>
      </c>
      <c r="N425" s="348" t="s">
        <v>171</v>
      </c>
      <c r="O425" s="349">
        <v>28.9</v>
      </c>
      <c r="P425" s="350">
        <v>6468.5</v>
      </c>
      <c r="Q425" s="346"/>
      <c r="R425" s="346"/>
      <c r="S425" s="346"/>
      <c r="T425" s="346"/>
      <c r="U425" s="346"/>
      <c r="V425" s="346"/>
      <c r="W425" s="346"/>
      <c r="X425" s="346"/>
      <c r="Y425" s="346"/>
      <c r="Z425" s="346"/>
      <c r="AA425" s="346"/>
      <c r="AB425" s="348"/>
      <c r="AC425" s="348"/>
      <c r="AD425" s="351"/>
    </row>
    <row r="426" spans="1:30" s="344" customFormat="1" outlineLevel="1" x14ac:dyDescent="0.35">
      <c r="A426" s="86"/>
      <c r="C426" s="345"/>
      <c r="D426" s="345"/>
      <c r="E426" s="345"/>
      <c r="F426" s="72"/>
      <c r="G426" s="346"/>
      <c r="H426" s="346"/>
      <c r="I426" s="346"/>
      <c r="J426" s="346"/>
      <c r="K426" s="346"/>
      <c r="L426" s="346"/>
      <c r="M426" s="347">
        <v>47</v>
      </c>
      <c r="N426" s="348" t="s">
        <v>175</v>
      </c>
      <c r="O426" s="349">
        <v>9.3000000000000007</v>
      </c>
      <c r="P426" s="350">
        <v>2079.1999999999998</v>
      </c>
      <c r="Q426" s="346"/>
      <c r="R426" s="346"/>
      <c r="S426" s="346"/>
      <c r="T426" s="346"/>
      <c r="U426" s="346"/>
      <c r="V426" s="346"/>
      <c r="W426" s="346"/>
      <c r="X426" s="346"/>
      <c r="Y426" s="346"/>
      <c r="Z426" s="346"/>
      <c r="AA426" s="346"/>
      <c r="AB426" s="348"/>
      <c r="AC426" s="348"/>
      <c r="AD426" s="351"/>
    </row>
    <row r="427" spans="1:30" s="344" customFormat="1" outlineLevel="1" x14ac:dyDescent="0.35">
      <c r="A427" s="86"/>
      <c r="C427" s="345"/>
      <c r="D427" s="345"/>
      <c r="E427" s="345"/>
      <c r="F427" s="72"/>
      <c r="G427" s="346"/>
      <c r="H427" s="346"/>
      <c r="I427" s="346"/>
      <c r="J427" s="346"/>
      <c r="K427" s="346"/>
      <c r="L427" s="346"/>
      <c r="M427" s="347">
        <v>48</v>
      </c>
      <c r="N427" s="348" t="s">
        <v>179</v>
      </c>
      <c r="O427" s="349">
        <v>7.2</v>
      </c>
      <c r="P427" s="350">
        <v>1617.1</v>
      </c>
      <c r="Q427" s="346"/>
      <c r="R427" s="346"/>
      <c r="S427" s="346"/>
      <c r="T427" s="346"/>
      <c r="U427" s="346"/>
      <c r="V427" s="346"/>
      <c r="W427" s="346"/>
      <c r="X427" s="346"/>
      <c r="Y427" s="346"/>
      <c r="Z427" s="346"/>
      <c r="AA427" s="346"/>
      <c r="AB427" s="348"/>
      <c r="AC427" s="348"/>
      <c r="AD427" s="351"/>
    </row>
    <row r="428" spans="1:30" s="344" customFormat="1" outlineLevel="1" x14ac:dyDescent="0.35">
      <c r="A428" s="86"/>
      <c r="C428" s="345"/>
      <c r="D428" s="345"/>
      <c r="E428" s="345"/>
      <c r="F428" s="72"/>
      <c r="G428" s="346"/>
      <c r="H428" s="346"/>
      <c r="I428" s="346"/>
      <c r="J428" s="346"/>
      <c r="K428" s="346"/>
      <c r="L428" s="346"/>
      <c r="M428" s="347">
        <v>49</v>
      </c>
      <c r="N428" s="348" t="s">
        <v>183</v>
      </c>
      <c r="O428" s="349">
        <v>4.5999999999999996</v>
      </c>
      <c r="P428" s="350">
        <v>1039.5999999999999</v>
      </c>
      <c r="Q428" s="346"/>
      <c r="R428" s="346"/>
      <c r="S428" s="346"/>
      <c r="T428" s="346"/>
      <c r="U428" s="346"/>
      <c r="V428" s="346"/>
      <c r="W428" s="346"/>
      <c r="X428" s="346"/>
      <c r="Y428" s="346"/>
      <c r="Z428" s="346"/>
      <c r="AA428" s="346"/>
      <c r="AB428" s="348"/>
      <c r="AC428" s="348"/>
      <c r="AD428" s="351"/>
    </row>
    <row r="429" spans="1:30" s="275" customFormat="1" outlineLevel="1" x14ac:dyDescent="0.35">
      <c r="A429" s="274"/>
      <c r="C429" s="276"/>
      <c r="D429" s="276"/>
      <c r="E429" s="276"/>
      <c r="F429" s="277"/>
      <c r="G429" s="278"/>
      <c r="H429" s="278"/>
      <c r="I429" s="278"/>
      <c r="J429" s="278"/>
      <c r="K429" s="278"/>
      <c r="L429" s="278"/>
      <c r="M429" s="279" t="s">
        <v>23</v>
      </c>
      <c r="N429" s="280" t="s">
        <v>318</v>
      </c>
      <c r="O429" s="281">
        <v>28.4</v>
      </c>
      <c r="P429" s="282">
        <v>6353</v>
      </c>
      <c r="Q429" s="278"/>
      <c r="R429" s="278"/>
      <c r="S429" s="278"/>
      <c r="T429" s="278"/>
      <c r="U429" s="278"/>
      <c r="V429" s="278"/>
      <c r="W429" s="278"/>
      <c r="X429" s="278"/>
      <c r="Y429" s="278"/>
      <c r="Z429" s="278"/>
      <c r="AA429" s="278"/>
      <c r="AB429" s="280"/>
      <c r="AC429" s="280"/>
      <c r="AD429" s="283"/>
    </row>
    <row r="430" spans="1:30" s="344" customFormat="1" outlineLevel="1" x14ac:dyDescent="0.35">
      <c r="A430" s="86"/>
      <c r="C430" s="345"/>
      <c r="D430" s="345"/>
      <c r="E430" s="345"/>
      <c r="F430" s="72"/>
      <c r="G430" s="346"/>
      <c r="H430" s="346"/>
      <c r="I430" s="346"/>
      <c r="J430" s="346"/>
      <c r="K430" s="346"/>
      <c r="L430" s="346"/>
      <c r="M430" s="347">
        <v>50</v>
      </c>
      <c r="N430" s="348" t="s">
        <v>319</v>
      </c>
      <c r="O430" s="349">
        <v>21.1</v>
      </c>
      <c r="P430" s="350">
        <v>4735.8999999999996</v>
      </c>
      <c r="Q430" s="346"/>
      <c r="R430" s="346"/>
      <c r="S430" s="346"/>
      <c r="T430" s="346"/>
      <c r="U430" s="346"/>
      <c r="V430" s="346"/>
      <c r="W430" s="346"/>
      <c r="X430" s="346"/>
      <c r="Y430" s="346"/>
      <c r="Z430" s="346"/>
      <c r="AA430" s="346"/>
      <c r="AB430" s="348"/>
      <c r="AC430" s="348"/>
      <c r="AD430" s="351"/>
    </row>
    <row r="431" spans="1:30" s="344" customFormat="1" outlineLevel="1" x14ac:dyDescent="0.35">
      <c r="A431" s="86"/>
      <c r="C431" s="345"/>
      <c r="D431" s="345"/>
      <c r="E431" s="345"/>
      <c r="F431" s="72"/>
      <c r="G431" s="346"/>
      <c r="H431" s="346"/>
      <c r="I431" s="346"/>
      <c r="J431" s="346"/>
      <c r="K431" s="346"/>
      <c r="L431" s="346"/>
      <c r="M431" s="347">
        <v>51</v>
      </c>
      <c r="N431" s="348" t="s">
        <v>323</v>
      </c>
      <c r="O431" s="349">
        <v>7.2</v>
      </c>
      <c r="P431" s="350">
        <v>1617.1</v>
      </c>
      <c r="Q431" s="346"/>
      <c r="R431" s="346"/>
      <c r="S431" s="346"/>
      <c r="T431" s="346"/>
      <c r="U431" s="346"/>
      <c r="V431" s="346"/>
      <c r="W431" s="346"/>
      <c r="X431" s="346"/>
      <c r="Y431" s="346"/>
      <c r="Z431" s="346"/>
      <c r="AA431" s="346"/>
      <c r="AB431" s="348"/>
      <c r="AC431" s="348"/>
      <c r="AD431" s="351"/>
    </row>
    <row r="432" spans="1:30" s="275" customFormat="1" outlineLevel="1" x14ac:dyDescent="0.35">
      <c r="A432" s="274"/>
      <c r="C432" s="276"/>
      <c r="D432" s="276"/>
      <c r="E432" s="276"/>
      <c r="F432" s="277"/>
      <c r="G432" s="278"/>
      <c r="H432" s="278"/>
      <c r="I432" s="278"/>
      <c r="J432" s="278"/>
      <c r="K432" s="278"/>
      <c r="L432" s="278"/>
      <c r="M432" s="279" t="s">
        <v>23</v>
      </c>
      <c r="N432" s="280" t="s">
        <v>327</v>
      </c>
      <c r="O432" s="281">
        <v>33.5</v>
      </c>
      <c r="P432" s="282">
        <v>7508.1</v>
      </c>
      <c r="Q432" s="278"/>
      <c r="R432" s="278"/>
      <c r="S432" s="278"/>
      <c r="T432" s="278"/>
      <c r="U432" s="278"/>
      <c r="V432" s="278"/>
      <c r="W432" s="278"/>
      <c r="X432" s="278"/>
      <c r="Y432" s="278"/>
      <c r="Z432" s="278"/>
      <c r="AA432" s="278"/>
      <c r="AB432" s="280"/>
      <c r="AC432" s="280"/>
      <c r="AD432" s="283"/>
    </row>
    <row r="433" spans="1:30" s="344" customFormat="1" outlineLevel="1" x14ac:dyDescent="0.35">
      <c r="A433" s="86"/>
      <c r="C433" s="345"/>
      <c r="D433" s="345"/>
      <c r="E433" s="345"/>
      <c r="F433" s="72"/>
      <c r="G433" s="346"/>
      <c r="H433" s="346"/>
      <c r="I433" s="346"/>
      <c r="J433" s="346"/>
      <c r="K433" s="346"/>
      <c r="L433" s="346"/>
      <c r="M433" s="347">
        <v>52</v>
      </c>
      <c r="N433" s="348" t="s">
        <v>328</v>
      </c>
      <c r="O433" s="349">
        <v>33.5</v>
      </c>
      <c r="P433" s="350">
        <v>7508.1</v>
      </c>
      <c r="Q433" s="346"/>
      <c r="R433" s="346"/>
      <c r="S433" s="346"/>
      <c r="T433" s="346"/>
      <c r="U433" s="346"/>
      <c r="V433" s="346"/>
      <c r="W433" s="346"/>
      <c r="X433" s="346"/>
      <c r="Y433" s="346"/>
      <c r="Z433" s="346"/>
      <c r="AA433" s="346"/>
      <c r="AB433" s="348"/>
      <c r="AC433" s="348"/>
      <c r="AD433" s="351"/>
    </row>
    <row r="434" spans="1:30" s="9" customFormat="1" outlineLevel="1" x14ac:dyDescent="0.35">
      <c r="A434" s="86"/>
      <c r="C434" s="74"/>
      <c r="D434" s="74"/>
      <c r="E434" s="74"/>
      <c r="F434" s="72"/>
      <c r="G434" s="25"/>
      <c r="H434" s="25"/>
      <c r="I434" s="25"/>
      <c r="J434" s="25"/>
      <c r="K434" s="25"/>
      <c r="L434" s="25"/>
      <c r="M434" s="262"/>
      <c r="N434" s="28"/>
      <c r="O434" s="28"/>
      <c r="P434" s="25"/>
      <c r="Q434" s="25"/>
      <c r="R434" s="25"/>
      <c r="S434" s="25"/>
      <c r="T434" s="25"/>
      <c r="U434" s="25"/>
      <c r="V434" s="25"/>
      <c r="W434" s="25"/>
      <c r="X434" s="25"/>
      <c r="Y434" s="25"/>
      <c r="Z434" s="25"/>
      <c r="AA434" s="25"/>
      <c r="AB434" s="28"/>
      <c r="AC434" s="28"/>
      <c r="AD434" s="10"/>
    </row>
    <row r="435" spans="1:30" s="9" customFormat="1" ht="3" customHeight="1" outlineLevel="1" x14ac:dyDescent="0.35">
      <c r="A435" s="86"/>
      <c r="C435" s="74"/>
      <c r="D435" s="74"/>
      <c r="E435" s="74"/>
      <c r="F435" s="72"/>
      <c r="G435" s="25"/>
      <c r="H435" s="25"/>
      <c r="I435" s="25"/>
      <c r="J435" s="25"/>
      <c r="K435" s="25"/>
      <c r="L435" s="25"/>
      <c r="M435" s="267"/>
      <c r="N435" s="245"/>
      <c r="O435" s="245"/>
      <c r="P435" s="244"/>
      <c r="Q435" s="25"/>
      <c r="R435" s="25"/>
      <c r="S435" s="25"/>
      <c r="T435" s="25"/>
      <c r="U435" s="25"/>
      <c r="V435" s="25"/>
      <c r="W435" s="25"/>
      <c r="X435" s="25"/>
      <c r="Y435" s="25"/>
      <c r="Z435" s="25"/>
      <c r="AA435" s="25"/>
      <c r="AB435" s="28"/>
      <c r="AC435" s="28"/>
      <c r="AD435" s="10"/>
    </row>
    <row r="436" spans="1:30" s="9" customFormat="1" outlineLevel="1" x14ac:dyDescent="0.35">
      <c r="A436" s="86"/>
      <c r="C436" s="74"/>
      <c r="D436" s="74"/>
      <c r="E436" s="74"/>
      <c r="F436" s="72"/>
      <c r="G436" s="25"/>
      <c r="H436" s="25"/>
      <c r="I436" s="25"/>
      <c r="J436" s="25"/>
      <c r="K436" s="25"/>
      <c r="L436" s="25"/>
      <c r="M436" s="268"/>
      <c r="N436" s="185"/>
      <c r="O436" s="186">
        <f>TOTAL_EFFORT</f>
        <v>757</v>
      </c>
      <c r="P436" s="186">
        <f>TOTAL_COST</f>
        <v>169568</v>
      </c>
      <c r="Q436" s="25"/>
      <c r="R436" s="25"/>
      <c r="S436" s="25"/>
      <c r="T436" s="25"/>
      <c r="U436" s="25"/>
      <c r="V436" s="25"/>
      <c r="W436" s="25"/>
      <c r="X436" s="25"/>
      <c r="Y436" s="25"/>
      <c r="Z436" s="25"/>
      <c r="AA436" s="25"/>
      <c r="AB436" s="28"/>
      <c r="AC436" s="28"/>
      <c r="AD436" s="10"/>
    </row>
    <row r="437" spans="1:30" s="9" customFormat="1" outlineLevel="1" x14ac:dyDescent="0.35">
      <c r="A437" s="86"/>
      <c r="C437" s="74"/>
      <c r="D437" s="74"/>
      <c r="E437" s="74"/>
      <c r="F437" s="72"/>
      <c r="G437" s="25"/>
      <c r="H437" s="25"/>
      <c r="I437" s="25"/>
      <c r="J437" s="25"/>
      <c r="K437" s="25"/>
      <c r="L437" s="25"/>
      <c r="M437" s="262"/>
      <c r="N437" s="28"/>
      <c r="O437" s="28"/>
      <c r="P437" s="25"/>
      <c r="Q437" s="25"/>
      <c r="R437" s="25"/>
      <c r="S437" s="25"/>
      <c r="T437" s="25"/>
      <c r="U437" s="25"/>
      <c r="V437" s="25"/>
      <c r="W437" s="25"/>
      <c r="X437" s="25"/>
      <c r="Y437" s="25"/>
      <c r="Z437" s="25"/>
      <c r="AA437" s="25"/>
      <c r="AB437" s="28"/>
      <c r="AC437" s="28"/>
      <c r="AD437" s="10"/>
    </row>
    <row r="438" spans="1:30" s="9" customFormat="1" ht="20.25" customHeight="1" outlineLevel="1" x14ac:dyDescent="0.35">
      <c r="A438" s="86"/>
      <c r="C438" s="72"/>
      <c r="D438" s="72"/>
      <c r="E438" s="72"/>
      <c r="F438" s="72"/>
      <c r="G438" s="40"/>
      <c r="H438" s="40"/>
      <c r="I438" s="40"/>
      <c r="J438" s="40"/>
      <c r="K438" s="40"/>
      <c r="L438" s="40"/>
      <c r="M438" s="258"/>
      <c r="N438" s="40"/>
      <c r="O438" s="40"/>
      <c r="P438" s="40"/>
      <c r="Q438" s="40"/>
      <c r="R438" s="40"/>
      <c r="S438" s="40"/>
      <c r="T438" s="40"/>
      <c r="U438" s="40"/>
      <c r="V438" s="40"/>
      <c r="W438" s="40"/>
      <c r="X438" s="40"/>
      <c r="Y438" s="40"/>
      <c r="Z438" s="40"/>
      <c r="AA438" s="40"/>
      <c r="AB438" s="40"/>
      <c r="AC438" s="40"/>
      <c r="AD438" s="10"/>
    </row>
    <row r="439" spans="1:30" ht="15" customHeight="1" x14ac:dyDescent="0.35">
      <c r="F439" s="72"/>
    </row>
    <row r="440" spans="1:30" s="9" customFormat="1" ht="20.25" customHeight="1" x14ac:dyDescent="0.35">
      <c r="A440" s="86"/>
      <c r="C440" s="72"/>
      <c r="D440" s="72"/>
      <c r="E440" s="72"/>
      <c r="F440" s="72"/>
      <c r="G440" s="309" t="s">
        <v>35</v>
      </c>
      <c r="H440" s="294"/>
      <c r="I440" s="165"/>
      <c r="J440" s="40"/>
      <c r="K440" s="40"/>
      <c r="L440" s="36"/>
      <c r="M440" s="265" t="s">
        <v>411</v>
      </c>
      <c r="N440" s="36"/>
      <c r="O440" s="36"/>
      <c r="P440" s="36"/>
      <c r="Q440" s="36"/>
      <c r="R440" s="36"/>
      <c r="S440" s="36"/>
      <c r="T440" s="36"/>
      <c r="U440" s="36"/>
      <c r="V440" s="36"/>
      <c r="W440" s="36"/>
      <c r="X440" s="36"/>
      <c r="Y440" s="36"/>
      <c r="Z440" s="36"/>
      <c r="AA440" s="36"/>
      <c r="AB440" s="36"/>
      <c r="AC440" s="36"/>
      <c r="AD440" s="10"/>
    </row>
    <row r="441" spans="1:30" outlineLevel="1" x14ac:dyDescent="0.35">
      <c r="F441" s="72"/>
      <c r="G441" s="58"/>
      <c r="H441" s="58"/>
      <c r="I441" s="58"/>
      <c r="J441" s="58"/>
      <c r="K441" s="58"/>
      <c r="L441" s="58"/>
      <c r="M441" s="270"/>
      <c r="N441" s="59"/>
      <c r="O441" s="59"/>
      <c r="P441" s="58"/>
      <c r="Q441" s="58"/>
      <c r="R441" s="58"/>
      <c r="S441" s="58"/>
      <c r="T441" s="58"/>
      <c r="U441" s="58"/>
      <c r="V441" s="58"/>
      <c r="W441" s="58"/>
      <c r="X441" s="58"/>
      <c r="Y441" s="58"/>
      <c r="Z441" s="58"/>
      <c r="AA441" s="58"/>
      <c r="AB441" s="59"/>
      <c r="AC441" s="28"/>
    </row>
    <row r="442" spans="1:30" outlineLevel="1" x14ac:dyDescent="0.35">
      <c r="F442" s="72"/>
      <c r="G442" s="58">
        <v>1</v>
      </c>
      <c r="H442" s="58"/>
      <c r="I442" s="58"/>
      <c r="J442" s="58"/>
      <c r="K442" s="58"/>
      <c r="L442" s="58"/>
      <c r="M442" s="270"/>
      <c r="N442" s="59"/>
      <c r="O442" s="59"/>
      <c r="P442" s="58"/>
      <c r="Q442" s="314" t="s">
        <v>412</v>
      </c>
      <c r="R442" s="313"/>
      <c r="S442" s="313"/>
      <c r="T442" s="313"/>
      <c r="U442" s="313"/>
      <c r="V442" s="313"/>
      <c r="W442" s="232"/>
      <c r="X442" s="58"/>
      <c r="Y442" s="58"/>
      <c r="Z442" s="58"/>
      <c r="AA442" s="58"/>
      <c r="AB442" s="59"/>
      <c r="AC442" s="28"/>
    </row>
    <row r="443" spans="1:30" ht="15" customHeight="1" outlineLevel="1" x14ac:dyDescent="0.35">
      <c r="B443" s="9" t="str">
        <f>IF(OR(COUNTBLANK(Q443:W443)&lt;&gt;0,SUM(Q443:W443)=0), ".", "")</f>
        <v/>
      </c>
      <c r="F443" s="72"/>
      <c r="G443" s="58">
        <v>2</v>
      </c>
      <c r="H443" s="58"/>
      <c r="I443" s="58"/>
      <c r="J443" s="58"/>
      <c r="K443" s="58"/>
      <c r="L443" s="58"/>
      <c r="M443" s="270"/>
      <c r="N443" s="59"/>
      <c r="O443" s="316" t="s">
        <v>413</v>
      </c>
      <c r="P443" s="316" t="s">
        <v>414</v>
      </c>
      <c r="Q443" s="50">
        <f t="shared" ref="Q443:V443" si="0">28 * 8</f>
        <v>224</v>
      </c>
      <c r="R443" s="50">
        <f t="shared" si="0"/>
        <v>224</v>
      </c>
      <c r="S443" s="50">
        <f t="shared" si="0"/>
        <v>224</v>
      </c>
      <c r="T443" s="50">
        <f t="shared" si="0"/>
        <v>224</v>
      </c>
      <c r="U443" s="50">
        <f t="shared" si="0"/>
        <v>224</v>
      </c>
      <c r="V443" s="50">
        <f t="shared" si="0"/>
        <v>224</v>
      </c>
      <c r="W443" s="311" t="str">
        <f>CHOSEN_CURRENCY</f>
        <v>USD</v>
      </c>
      <c r="X443" s="307"/>
      <c r="Y443" s="58"/>
      <c r="Z443" s="58"/>
      <c r="AA443" s="58"/>
      <c r="AB443" s="59"/>
      <c r="AC443" s="28"/>
    </row>
    <row r="444" spans="1:30" ht="15" customHeight="1" outlineLevel="1" x14ac:dyDescent="0.35">
      <c r="F444" s="72"/>
      <c r="G444" s="58">
        <v>3</v>
      </c>
      <c r="H444" s="58"/>
      <c r="I444" s="58"/>
      <c r="J444" s="58"/>
      <c r="K444" s="58"/>
      <c r="L444" s="58"/>
      <c r="M444" s="270"/>
      <c r="N444" s="59"/>
      <c r="O444" s="313"/>
      <c r="P444" s="313"/>
      <c r="Q444" s="271" t="s">
        <v>415</v>
      </c>
      <c r="R444" s="271" t="s">
        <v>416</v>
      </c>
      <c r="S444" s="271" t="s">
        <v>417</v>
      </c>
      <c r="T444" s="271" t="s">
        <v>418</v>
      </c>
      <c r="U444" s="271" t="s">
        <v>419</v>
      </c>
      <c r="V444" s="272" t="s">
        <v>420</v>
      </c>
      <c r="W444" s="312"/>
      <c r="X444" s="313"/>
      <c r="Y444" s="58"/>
      <c r="Z444" s="58"/>
      <c r="AA444" s="58"/>
      <c r="AB444" s="59"/>
      <c r="AC444" s="28"/>
    </row>
    <row r="445" spans="1:30" ht="15" customHeight="1" outlineLevel="1" x14ac:dyDescent="0.35">
      <c r="B445" s="9" t="str">
        <f t="shared" ref="B445:B450" si="1">IF(SUM(Q445:V445)&lt;&gt;1,".","")</f>
        <v/>
      </c>
      <c r="F445" s="72"/>
      <c r="G445" s="58">
        <v>4</v>
      </c>
      <c r="H445" s="58"/>
      <c r="I445" s="58"/>
      <c r="J445" s="58"/>
      <c r="K445" s="58"/>
      <c r="L445" s="62" t="s">
        <v>421</v>
      </c>
      <c r="M445" s="262" t="str">
        <f>$L$12</f>
        <v>A</v>
      </c>
      <c r="N445" s="28" t="str">
        <f>$M$12</f>
        <v>Business Requirement Analysis</v>
      </c>
      <c r="O445" s="60">
        <f>S12</f>
        <v>57</v>
      </c>
      <c r="P445" s="94">
        <f>ROUND(REQ_EFFORT/5,0)</f>
        <v>11</v>
      </c>
      <c r="Q445" s="95">
        <v>0.85</v>
      </c>
      <c r="R445" s="246">
        <v>0.1</v>
      </c>
      <c r="S445" s="42"/>
      <c r="T445" s="42"/>
      <c r="U445" s="42"/>
      <c r="V445" s="43">
        <v>0.05</v>
      </c>
      <c r="W445" s="302">
        <f t="shared" ref="W445:W450" si="2">(($O445*Q445)*Q$443)+(($O445*R445)*R$443)+(($O445*S445)*S$443)+(($O445*T445)*T$443)+(($O445*U445)*U$443)+(($O445*V445)*V$443)</f>
        <v>12767.999999999998</v>
      </c>
      <c r="X445" s="303"/>
      <c r="Y445" s="58"/>
      <c r="Z445" s="58"/>
      <c r="AA445" s="58"/>
      <c r="AB445" s="59"/>
      <c r="AC445" s="28"/>
    </row>
    <row r="446" spans="1:30" outlineLevel="1" x14ac:dyDescent="0.35">
      <c r="B446" s="9" t="str">
        <f t="shared" si="1"/>
        <v/>
      </c>
      <c r="F446" s="72"/>
      <c r="G446" s="58">
        <v>5</v>
      </c>
      <c r="H446" s="58"/>
      <c r="I446" s="58"/>
      <c r="J446" s="58"/>
      <c r="K446" s="58"/>
      <c r="L446" s="62" t="s">
        <v>422</v>
      </c>
      <c r="M446" s="262" t="str">
        <f>$L$55</f>
        <v>B</v>
      </c>
      <c r="N446" s="28" t="str">
        <f>$M$55</f>
        <v>System Design &amp; Architecture</v>
      </c>
      <c r="O446" s="60">
        <f>S55</f>
        <v>51</v>
      </c>
      <c r="P446" s="94">
        <f>ROUND(DESIGN_EFFORT/5,0)</f>
        <v>10</v>
      </c>
      <c r="Q446" s="42"/>
      <c r="R446" s="247">
        <v>0.7</v>
      </c>
      <c r="S446" s="41">
        <v>0.2</v>
      </c>
      <c r="T446" s="42"/>
      <c r="U446" s="41">
        <v>0.1</v>
      </c>
      <c r="V446" s="44"/>
      <c r="W446" s="302">
        <f t="shared" si="2"/>
        <v>11423.999999999998</v>
      </c>
      <c r="X446" s="303"/>
      <c r="Y446" s="58"/>
      <c r="Z446" s="58"/>
      <c r="AA446" s="58"/>
      <c r="AB446" s="59"/>
      <c r="AC446" s="28"/>
    </row>
    <row r="447" spans="1:30" outlineLevel="1" x14ac:dyDescent="0.35">
      <c r="B447" s="9" t="str">
        <f t="shared" si="1"/>
        <v/>
      </c>
      <c r="F447" s="72"/>
      <c r="G447" s="58">
        <v>6</v>
      </c>
      <c r="H447" s="58"/>
      <c r="I447" s="58"/>
      <c r="J447" s="58"/>
      <c r="K447" s="58"/>
      <c r="L447" s="62" t="s">
        <v>423</v>
      </c>
      <c r="M447" s="262" t="str">
        <f>$L$75</f>
        <v>C</v>
      </c>
      <c r="N447" s="28" t="str">
        <f>$M$75</f>
        <v>Development &amp; Unit Testing</v>
      </c>
      <c r="O447" s="60">
        <f>S75</f>
        <v>367</v>
      </c>
      <c r="P447" s="94">
        <f>ROUND(DEV_EFFORT/5,0)</f>
        <v>73</v>
      </c>
      <c r="Q447" s="42"/>
      <c r="R447" s="246"/>
      <c r="S447" s="41">
        <v>0.3</v>
      </c>
      <c r="T447" s="95">
        <v>0.7</v>
      </c>
      <c r="U447" s="42"/>
      <c r="V447" s="44"/>
      <c r="W447" s="302">
        <f t="shared" si="2"/>
        <v>82207.999999999985</v>
      </c>
      <c r="X447" s="303"/>
      <c r="Y447" s="58"/>
      <c r="Z447" s="58"/>
      <c r="AA447" s="58"/>
      <c r="AB447" s="59"/>
      <c r="AC447" s="28"/>
    </row>
    <row r="448" spans="1:30" outlineLevel="1" x14ac:dyDescent="0.35">
      <c r="B448" s="9" t="str">
        <f t="shared" si="1"/>
        <v/>
      </c>
      <c r="F448" s="72"/>
      <c r="G448" s="58">
        <v>7</v>
      </c>
      <c r="H448" s="58"/>
      <c r="I448" s="58"/>
      <c r="J448" s="58"/>
      <c r="K448" s="58"/>
      <c r="L448" s="62" t="s">
        <v>419</v>
      </c>
      <c r="M448" s="262" t="str">
        <f>$L$303</f>
        <v>D</v>
      </c>
      <c r="N448" s="28" t="str">
        <f>$M$303</f>
        <v>System Testing &amp; Quality Assurance</v>
      </c>
      <c r="O448" s="60">
        <f>S303</f>
        <v>131</v>
      </c>
      <c r="P448" s="94">
        <f>ROUND(QA_EFFORT/5,0)</f>
        <v>26</v>
      </c>
      <c r="Q448" s="42"/>
      <c r="R448" s="246"/>
      <c r="S448" s="41">
        <v>0.1</v>
      </c>
      <c r="T448" s="41">
        <v>0.1</v>
      </c>
      <c r="U448" s="95">
        <v>0.8</v>
      </c>
      <c r="V448" s="44"/>
      <c r="W448" s="302">
        <f t="shared" si="2"/>
        <v>29344.000000000007</v>
      </c>
      <c r="X448" s="303"/>
      <c r="Y448" s="58"/>
      <c r="Z448" s="58"/>
      <c r="AA448" s="58"/>
      <c r="AB448" s="59"/>
      <c r="AC448" s="28"/>
    </row>
    <row r="449" spans="2:29" outlineLevel="1" x14ac:dyDescent="0.35">
      <c r="B449" s="9" t="str">
        <f t="shared" si="1"/>
        <v/>
      </c>
      <c r="F449" s="72"/>
      <c r="G449" s="58">
        <v>8</v>
      </c>
      <c r="H449" s="58"/>
      <c r="I449" s="58"/>
      <c r="J449" s="58"/>
      <c r="K449" s="58"/>
      <c r="L449" s="62" t="s">
        <v>424</v>
      </c>
      <c r="M449" s="262" t="str">
        <f>$L$332</f>
        <v>E</v>
      </c>
      <c r="N449" s="28" t="str">
        <f>$M$332</f>
        <v>Deployment, UAT &amp; Go-Live</v>
      </c>
      <c r="O449" s="60">
        <f>S332</f>
        <v>75</v>
      </c>
      <c r="P449" s="94">
        <f>ROUND(UAT_EFFORT/5,0)</f>
        <v>15</v>
      </c>
      <c r="Q449" s="42"/>
      <c r="R449" s="246"/>
      <c r="S449" s="41">
        <v>0.4</v>
      </c>
      <c r="T449" s="95">
        <v>0.4</v>
      </c>
      <c r="U449" s="41">
        <v>0.2</v>
      </c>
      <c r="V449" s="44"/>
      <c r="W449" s="302">
        <f t="shared" si="2"/>
        <v>16800</v>
      </c>
      <c r="X449" s="303"/>
      <c r="Y449" s="58"/>
      <c r="Z449" s="58"/>
      <c r="AA449" s="58"/>
      <c r="AB449" s="59"/>
      <c r="AC449" s="28"/>
    </row>
    <row r="450" spans="2:29" outlineLevel="1" x14ac:dyDescent="0.35">
      <c r="B450" s="9" t="str">
        <f t="shared" si="1"/>
        <v/>
      </c>
      <c r="F450" s="72"/>
      <c r="G450" s="58">
        <v>9</v>
      </c>
      <c r="H450" s="58"/>
      <c r="I450" s="58"/>
      <c r="J450" s="58"/>
      <c r="K450" s="58"/>
      <c r="L450" s="62" t="s">
        <v>425</v>
      </c>
      <c r="M450" s="262" t="str">
        <f>$L$355</f>
        <v>F</v>
      </c>
      <c r="N450" s="28" t="str">
        <f>$M$355</f>
        <v>Project Management &amp; Others</v>
      </c>
      <c r="O450" s="60">
        <f>S355</f>
        <v>76</v>
      </c>
      <c r="P450" s="94">
        <f>ROUND(OTHER_EFFORT/5,0)</f>
        <v>15</v>
      </c>
      <c r="Q450" s="42"/>
      <c r="R450" s="246">
        <v>0.2</v>
      </c>
      <c r="S450" s="95">
        <v>0.8</v>
      </c>
      <c r="T450" s="42"/>
      <c r="U450" s="42"/>
      <c r="V450" s="44"/>
      <c r="W450" s="317">
        <f t="shared" si="2"/>
        <v>17024</v>
      </c>
      <c r="X450" s="318"/>
      <c r="Y450" s="58"/>
      <c r="Z450" s="58"/>
      <c r="AA450" s="58"/>
      <c r="AB450" s="59"/>
      <c r="AC450" s="28"/>
    </row>
    <row r="451" spans="2:29" ht="21" customHeight="1" outlineLevel="1" x14ac:dyDescent="0.35">
      <c r="F451" s="72"/>
      <c r="G451" s="58">
        <v>10</v>
      </c>
      <c r="H451" s="58"/>
      <c r="I451" s="58"/>
      <c r="J451" s="58"/>
      <c r="K451" s="58"/>
      <c r="L451" s="58"/>
      <c r="M451" s="270"/>
      <c r="N451" s="59"/>
      <c r="O451" s="238">
        <f>SUM(O445:O450)</f>
        <v>757</v>
      </c>
      <c r="P451" s="239">
        <f>SUM(P445:P450)</f>
        <v>150</v>
      </c>
      <c r="Q451" s="324" t="s">
        <v>426</v>
      </c>
      <c r="R451" s="290"/>
      <c r="S451" s="290"/>
      <c r="T451" s="290"/>
      <c r="U451" s="290"/>
      <c r="V451" s="290"/>
      <c r="W451" s="289">
        <f>SUM(W445:W450)</f>
        <v>169568</v>
      </c>
      <c r="X451" s="290"/>
      <c r="Y451" s="58"/>
      <c r="Z451" s="58"/>
      <c r="AA451" s="58"/>
      <c r="AB451" s="59"/>
      <c r="AC451" s="28"/>
    </row>
    <row r="452" spans="2:29" outlineLevel="1" x14ac:dyDescent="0.35">
      <c r="F452" s="72"/>
      <c r="G452" s="58"/>
      <c r="H452" s="58"/>
      <c r="I452" s="58"/>
      <c r="J452" s="58"/>
      <c r="K452" s="58"/>
      <c r="L452" s="58"/>
      <c r="M452" s="270"/>
      <c r="N452" s="59"/>
      <c r="O452" s="59"/>
      <c r="P452" s="58"/>
      <c r="Q452" s="58"/>
      <c r="R452" s="58"/>
      <c r="S452" s="58"/>
      <c r="T452" s="58"/>
      <c r="U452" s="58"/>
      <c r="V452" s="58"/>
      <c r="W452" s="58"/>
      <c r="X452" s="58"/>
      <c r="Y452" s="58"/>
      <c r="Z452" s="58"/>
      <c r="AA452" s="58"/>
      <c r="AB452" s="59"/>
      <c r="AC452" s="28"/>
    </row>
    <row r="453" spans="2:29" ht="15" customHeight="1" outlineLevel="1" x14ac:dyDescent="0.35">
      <c r="F453" s="72"/>
      <c r="G453" s="58"/>
      <c r="H453" s="58"/>
      <c r="I453" s="58"/>
      <c r="J453" s="58"/>
      <c r="K453" s="58"/>
      <c r="L453" s="58"/>
      <c r="M453" s="270"/>
      <c r="N453" s="59"/>
      <c r="O453" s="59"/>
      <c r="P453" s="58"/>
      <c r="Q453" s="327" t="s">
        <v>427</v>
      </c>
      <c r="R453" s="328"/>
      <c r="S453" s="328"/>
      <c r="T453" s="328"/>
      <c r="U453" s="328"/>
      <c r="V453" s="328"/>
      <c r="W453" s="310" t="s">
        <v>428</v>
      </c>
      <c r="X453" s="288"/>
      <c r="Y453" s="58"/>
      <c r="Z453" s="58"/>
      <c r="AA453" s="58"/>
      <c r="AB453" s="59"/>
      <c r="AC453" s="28"/>
    </row>
    <row r="454" spans="2:29" ht="15" customHeight="1" outlineLevel="1" x14ac:dyDescent="0.35">
      <c r="F454" s="72"/>
      <c r="G454" s="58"/>
      <c r="H454" s="58"/>
      <c r="I454" s="58"/>
      <c r="J454" s="58"/>
      <c r="K454" s="58"/>
      <c r="L454" s="58"/>
      <c r="M454" s="262"/>
      <c r="N454" s="28"/>
      <c r="O454" s="97" t="s">
        <v>429</v>
      </c>
      <c r="P454" s="98" t="s">
        <v>430</v>
      </c>
      <c r="Q454" s="271" t="s">
        <v>415</v>
      </c>
      <c r="R454" s="271" t="s">
        <v>416</v>
      </c>
      <c r="S454" s="271" t="s">
        <v>417</v>
      </c>
      <c r="T454" s="271" t="s">
        <v>418</v>
      </c>
      <c r="U454" s="271" t="s">
        <v>419</v>
      </c>
      <c r="V454" s="272" t="s">
        <v>420</v>
      </c>
      <c r="W454" s="288"/>
      <c r="X454" s="288"/>
      <c r="Y454" s="58"/>
      <c r="Z454" s="93"/>
      <c r="AA454" s="93"/>
      <c r="AB454" s="93"/>
      <c r="AC454" s="93"/>
    </row>
    <row r="455" spans="2:29" ht="15" customHeight="1" outlineLevel="1" x14ac:dyDescent="0.35">
      <c r="F455" s="72"/>
      <c r="G455" s="58"/>
      <c r="H455" s="58"/>
      <c r="I455" s="58"/>
      <c r="J455" s="58"/>
      <c r="K455" s="58"/>
      <c r="L455" s="58"/>
      <c r="M455" s="262" t="str">
        <f>$L$12</f>
        <v>A</v>
      </c>
      <c r="N455" s="28" t="str">
        <f>$M$12</f>
        <v>Business Requirement Analysis</v>
      </c>
      <c r="O455" s="102">
        <v>46113</v>
      </c>
      <c r="P455" s="99">
        <f>O455+(((P445*REQ_BA_PERCENT)/REQ_BA_COUNT)*7)</f>
        <v>46145.724999999999</v>
      </c>
      <c r="Q455" s="96">
        <v>2</v>
      </c>
      <c r="R455" s="203">
        <v>1</v>
      </c>
      <c r="S455" s="92"/>
      <c r="T455" s="92"/>
      <c r="U455" s="92"/>
      <c r="V455" s="51">
        <v>1</v>
      </c>
      <c r="W455" s="236">
        <v>0.9</v>
      </c>
      <c r="X455" s="58"/>
      <c r="Y455" s="319" t="s">
        <v>431</v>
      </c>
      <c r="Z455" s="288"/>
      <c r="AA455" s="288"/>
      <c r="AB455" s="59"/>
      <c r="AC455" s="28"/>
    </row>
    <row r="456" spans="2:29" outlineLevel="1" x14ac:dyDescent="0.35">
      <c r="F456" s="72"/>
      <c r="G456" s="58"/>
      <c r="H456" s="58"/>
      <c r="I456" s="58"/>
      <c r="J456" s="58"/>
      <c r="K456" s="58"/>
      <c r="L456" s="58"/>
      <c r="M456" s="262" t="str">
        <f>$L$55</f>
        <v>B</v>
      </c>
      <c r="N456" s="28" t="str">
        <f>$M$55</f>
        <v>System Design &amp; Architecture</v>
      </c>
      <c r="O456" s="100">
        <f>O455+((P455-O455)*W455)+1</f>
        <v>46143.452499999999</v>
      </c>
      <c r="P456" s="99">
        <f>O456+(((P446*DESIGN_TA_PERCENT)/DESIGN_TA_COUNT)*7)</f>
        <v>46167.952499999999</v>
      </c>
      <c r="Q456" s="92">
        <v>1</v>
      </c>
      <c r="R456" s="204">
        <v>2</v>
      </c>
      <c r="S456" s="92">
        <v>1</v>
      </c>
      <c r="T456" s="92">
        <v>1</v>
      </c>
      <c r="U456" s="92">
        <v>1</v>
      </c>
      <c r="V456" s="51"/>
      <c r="W456" s="237">
        <v>0.85</v>
      </c>
      <c r="X456" s="58"/>
      <c r="Y456" s="288"/>
      <c r="Z456" s="288"/>
      <c r="AA456" s="288"/>
      <c r="AB456" s="59"/>
      <c r="AC456" s="28"/>
    </row>
    <row r="457" spans="2:29" outlineLevel="1" x14ac:dyDescent="0.35">
      <c r="F457" s="72"/>
      <c r="G457" s="58"/>
      <c r="H457" s="58"/>
      <c r="I457" s="58"/>
      <c r="J457" s="58"/>
      <c r="K457" s="58"/>
      <c r="L457" s="58"/>
      <c r="M457" s="262" t="str">
        <f>$L$75</f>
        <v>C</v>
      </c>
      <c r="N457" s="28" t="str">
        <f>$M$75</f>
        <v>Development &amp; Unit Testing</v>
      </c>
      <c r="O457" s="100">
        <f>O456+((P456-O456)*W456)+1</f>
        <v>46165.277499999997</v>
      </c>
      <c r="P457" s="99">
        <f>O457+(((P447*DEV_DEV_PERCENT)/DEV_DEV_COUNT)*7)</f>
        <v>46344.127499999995</v>
      </c>
      <c r="Q457" s="92"/>
      <c r="R457" s="203"/>
      <c r="S457" s="92">
        <v>1</v>
      </c>
      <c r="T457" s="96">
        <v>2</v>
      </c>
      <c r="U457" s="92"/>
      <c r="V457" s="51"/>
      <c r="W457" s="236">
        <v>0.3</v>
      </c>
      <c r="X457" s="58"/>
      <c r="Y457" s="288"/>
      <c r="Z457" s="288"/>
      <c r="AA457" s="288"/>
      <c r="AB457" s="59"/>
      <c r="AC457" s="28"/>
    </row>
    <row r="458" spans="2:29" outlineLevel="1" x14ac:dyDescent="0.35">
      <c r="F458" s="72"/>
      <c r="G458" s="58"/>
      <c r="H458" s="58"/>
      <c r="I458" s="58"/>
      <c r="J458" s="58"/>
      <c r="K458" s="58"/>
      <c r="L458" s="58"/>
      <c r="M458" s="262" t="str">
        <f>$L$303</f>
        <v>D</v>
      </c>
      <c r="N458" s="28" t="str">
        <f>$M$303</f>
        <v>System Testing &amp; Quality Assurance</v>
      </c>
      <c r="O458" s="100">
        <f>O457+((P457-O457)*W457)+1</f>
        <v>46219.932499999995</v>
      </c>
      <c r="P458" s="99">
        <f>O458+(((P448*TESTING_QA_PERCENT)/TESTING_QA_COUNT)*7)</f>
        <v>46365.532499999994</v>
      </c>
      <c r="Q458" s="92"/>
      <c r="R458" s="203"/>
      <c r="S458" s="92">
        <v>1</v>
      </c>
      <c r="T458" s="92">
        <v>2</v>
      </c>
      <c r="U458" s="96">
        <v>1</v>
      </c>
      <c r="V458" s="233"/>
      <c r="W458" s="236">
        <v>0.2</v>
      </c>
      <c r="X458" s="58"/>
      <c r="Y458" s="288"/>
      <c r="Z458" s="288"/>
      <c r="AA458" s="288"/>
      <c r="AB458" s="59"/>
      <c r="AC458" s="28"/>
    </row>
    <row r="459" spans="2:29" outlineLevel="1" x14ac:dyDescent="0.35">
      <c r="F459" s="72"/>
      <c r="G459" s="58"/>
      <c r="H459" s="58"/>
      <c r="I459" s="58"/>
      <c r="J459" s="58"/>
      <c r="K459" s="58"/>
      <c r="L459" s="58"/>
      <c r="M459" s="262" t="str">
        <f>$L$332</f>
        <v>E</v>
      </c>
      <c r="N459" s="28" t="str">
        <f>$M$332</f>
        <v>Deployment, UAT &amp; Go-Live</v>
      </c>
      <c r="O459" s="100">
        <f>O458+((P458-O458)*W458)+1</f>
        <v>46250.052499999998</v>
      </c>
      <c r="P459" s="99">
        <f>O459+(((P449*UAT_DEV_PERCENT)/UAT_DEV_COUNT)*7)</f>
        <v>46271.052499999998</v>
      </c>
      <c r="Q459" s="92"/>
      <c r="R459" s="203"/>
      <c r="S459" s="92">
        <v>1</v>
      </c>
      <c r="T459" s="96">
        <v>2</v>
      </c>
      <c r="U459" s="92">
        <v>1</v>
      </c>
      <c r="V459" s="51"/>
      <c r="W459" s="236">
        <v>0.95</v>
      </c>
      <c r="X459" s="58"/>
      <c r="Y459" s="288"/>
      <c r="Z459" s="288"/>
      <c r="AA459" s="288"/>
      <c r="AB459" s="59"/>
      <c r="AC459" s="28"/>
    </row>
    <row r="460" spans="2:29" outlineLevel="1" x14ac:dyDescent="0.35">
      <c r="F460" s="72"/>
      <c r="G460" s="58"/>
      <c r="H460" s="58"/>
      <c r="I460" s="58"/>
      <c r="J460" s="58"/>
      <c r="K460" s="58"/>
      <c r="L460" s="58"/>
      <c r="M460" s="262" t="str">
        <f>$L$355</f>
        <v>F</v>
      </c>
      <c r="N460" s="28" t="str">
        <f>$M$355</f>
        <v>Project Management &amp; Others</v>
      </c>
      <c r="O460" s="101">
        <f>O459+((P459-O459)*W459)+1</f>
        <v>46271.002499999995</v>
      </c>
      <c r="P460" s="108">
        <f>O460+(((P450*OTHER_TL_PERCENT)/OTHER_TL_COUNT)*7)</f>
        <v>46355.002499999995</v>
      </c>
      <c r="Q460" s="109"/>
      <c r="R460" s="205">
        <v>0.5</v>
      </c>
      <c r="S460" s="110">
        <v>1</v>
      </c>
      <c r="T460" s="109"/>
      <c r="U460" s="109"/>
      <c r="V460" s="111"/>
      <c r="W460" s="234"/>
      <c r="X460" s="58"/>
      <c r="Y460" s="58"/>
      <c r="Z460" s="58"/>
      <c r="AA460" s="58"/>
      <c r="AB460" s="59"/>
      <c r="AC460" s="28"/>
    </row>
    <row r="461" spans="2:29" ht="15.5" customHeight="1" outlineLevel="1" x14ac:dyDescent="0.35">
      <c r="F461" s="72"/>
      <c r="G461" s="58">
        <v>1</v>
      </c>
      <c r="H461" s="58"/>
      <c r="I461" s="58"/>
      <c r="J461" s="58"/>
      <c r="K461" s="58"/>
      <c r="L461" s="25"/>
      <c r="M461" s="262"/>
      <c r="N461" s="25"/>
      <c r="O461" s="105" t="s">
        <v>432</v>
      </c>
      <c r="P461" s="114">
        <f>NETWORKDAYS(START_DATE,AUTOMATED_END_DATE)/5</f>
        <v>34.6</v>
      </c>
      <c r="Q461" s="113" t="s">
        <v>414</v>
      </c>
      <c r="R461" s="112"/>
      <c r="S461" s="107" t="s">
        <v>433</v>
      </c>
      <c r="T461" s="306">
        <f>AUTOMATED_END_DATE</f>
        <v>46355.002499999995</v>
      </c>
      <c r="U461" s="307"/>
      <c r="V461" s="235"/>
      <c r="W461" s="235"/>
      <c r="X461" s="235"/>
      <c r="Y461" s="25"/>
      <c r="Z461" s="25"/>
      <c r="AA461" s="25"/>
      <c r="AB461" s="28"/>
      <c r="AC461" s="28"/>
    </row>
    <row r="462" spans="2:29" ht="15.5" customHeight="1" outlineLevel="1" x14ac:dyDescent="0.35">
      <c r="F462" s="72"/>
      <c r="G462" s="58">
        <v>2</v>
      </c>
      <c r="H462" s="58"/>
      <c r="I462" s="58"/>
      <c r="J462" s="58"/>
      <c r="K462" s="58"/>
      <c r="L462" s="25"/>
      <c r="M462" s="262"/>
      <c r="N462" s="25"/>
      <c r="O462" s="105" t="s">
        <v>434</v>
      </c>
      <c r="P462" s="114">
        <f>NETWORKDAYS(START_DATE,MANUAL_END_DATE)/5</f>
        <v>-647.4</v>
      </c>
      <c r="Q462" s="113" t="s">
        <v>414</v>
      </c>
      <c r="R462" s="106"/>
      <c r="S462" s="107" t="s">
        <v>433</v>
      </c>
      <c r="T462" s="306">
        <f>MANUAL_END_DATE</f>
        <v>41583</v>
      </c>
      <c r="U462" s="307"/>
      <c r="V462" s="235"/>
      <c r="W462" s="235"/>
      <c r="X462" s="235"/>
      <c r="Y462" s="25"/>
      <c r="Z462" s="25"/>
      <c r="AA462" s="25"/>
      <c r="AB462" s="28"/>
      <c r="AC462" s="28"/>
    </row>
    <row r="463" spans="2:29" ht="15" customHeight="1" outlineLevel="1" x14ac:dyDescent="0.35">
      <c r="F463" s="72"/>
      <c r="G463" s="58"/>
      <c r="H463" s="58"/>
      <c r="I463" s="58"/>
      <c r="J463" s="58"/>
      <c r="K463" s="58"/>
      <c r="L463" s="25"/>
      <c r="M463" s="262"/>
      <c r="N463" s="25"/>
      <c r="O463" s="103"/>
      <c r="P463" s="61"/>
      <c r="Q463" s="104"/>
      <c r="R463" s="25"/>
      <c r="S463" s="25"/>
      <c r="T463" s="25"/>
      <c r="U463" s="25"/>
      <c r="V463" s="25"/>
      <c r="W463" s="25"/>
      <c r="X463" s="25"/>
      <c r="Y463" s="25"/>
      <c r="Z463" s="25"/>
      <c r="AA463" s="25"/>
      <c r="AB463" s="28"/>
      <c r="AC463" s="28"/>
    </row>
    <row r="464" spans="2:29" outlineLevel="1" x14ac:dyDescent="0.35">
      <c r="F464" s="72"/>
      <c r="G464" s="58">
        <v>3</v>
      </c>
      <c r="H464" s="58"/>
      <c r="I464" s="58"/>
      <c r="J464" s="58"/>
      <c r="K464" s="58"/>
      <c r="L464" s="25"/>
      <c r="M464" s="262"/>
      <c r="N464" s="28"/>
      <c r="O464" s="28"/>
      <c r="P464" s="25"/>
      <c r="Q464" s="25"/>
      <c r="R464" s="25"/>
      <c r="S464" s="69" t="s">
        <v>435</v>
      </c>
      <c r="T464" s="70" t="s">
        <v>436</v>
      </c>
      <c r="U464" s="25"/>
      <c r="V464" s="25"/>
      <c r="W464" s="25"/>
      <c r="X464" s="25"/>
      <c r="Y464" s="25"/>
      <c r="Z464" s="25"/>
      <c r="AA464" s="25"/>
      <c r="AB464" s="28"/>
      <c r="AC464" s="28"/>
    </row>
    <row r="465" spans="1:30" outlineLevel="1" x14ac:dyDescent="0.35">
      <c r="F465" s="72"/>
      <c r="G465" s="58"/>
      <c r="H465" s="58"/>
      <c r="I465" s="58"/>
      <c r="J465" s="58"/>
      <c r="K465" s="58"/>
      <c r="L465" s="25"/>
      <c r="M465" s="262"/>
      <c r="N465" s="28"/>
      <c r="O465" s="28"/>
      <c r="P465" s="25"/>
      <c r="Q465" s="25"/>
      <c r="R465" s="25"/>
      <c r="S465" s="25"/>
      <c r="T465" s="25"/>
      <c r="U465" s="25"/>
      <c r="V465" s="25"/>
      <c r="W465" s="25"/>
      <c r="X465" s="25"/>
      <c r="Y465" s="25"/>
      <c r="Z465" s="25"/>
      <c r="AA465" s="25"/>
      <c r="AB465" s="28"/>
      <c r="AC465" s="28"/>
    </row>
    <row r="466" spans="1:30" s="9" customFormat="1" ht="20.25" customHeight="1" outlineLevel="1" x14ac:dyDescent="0.35">
      <c r="A466" s="86"/>
      <c r="C466" s="72"/>
      <c r="D466" s="72"/>
      <c r="E466" s="72"/>
      <c r="F466" s="72"/>
      <c r="G466" s="40"/>
      <c r="H466" s="40"/>
      <c r="I466" s="40"/>
      <c r="J466" s="40"/>
      <c r="K466" s="40"/>
      <c r="L466" s="40"/>
      <c r="M466" s="258"/>
      <c r="N466" s="40"/>
      <c r="O466" s="40"/>
      <c r="P466" s="40"/>
      <c r="Q466" s="40"/>
      <c r="R466" s="40"/>
      <c r="S466" s="40"/>
      <c r="T466" s="40"/>
      <c r="U466" s="40"/>
      <c r="V466" s="40"/>
      <c r="W466" s="40"/>
      <c r="X466" s="40"/>
      <c r="Y466" s="40"/>
      <c r="Z466" s="40"/>
      <c r="AA466" s="40"/>
      <c r="AB466" s="40"/>
      <c r="AC466" s="40"/>
      <c r="AD466" s="10"/>
    </row>
    <row r="467" spans="1:30" s="9" customFormat="1" x14ac:dyDescent="0.35">
      <c r="A467" s="86"/>
      <c r="C467" s="74"/>
      <c r="D467" s="74"/>
      <c r="E467" s="74"/>
      <c r="F467" s="72"/>
      <c r="M467" s="252"/>
      <c r="N467" s="10"/>
      <c r="O467" s="10"/>
      <c r="AB467" s="10"/>
      <c r="AC467" s="10"/>
      <c r="AD467" s="10"/>
    </row>
    <row r="468" spans="1:30" s="9" customFormat="1" ht="20.25" customHeight="1" x14ac:dyDescent="0.35">
      <c r="A468" s="86"/>
      <c r="C468" s="72"/>
      <c r="D468" s="72"/>
      <c r="E468" s="72"/>
      <c r="F468" s="72"/>
      <c r="G468" s="309" t="s">
        <v>35</v>
      </c>
      <c r="H468" s="294"/>
      <c r="I468" s="165"/>
      <c r="J468" s="40"/>
      <c r="K468" s="40"/>
      <c r="L468" s="36"/>
      <c r="M468" s="265" t="s">
        <v>437</v>
      </c>
      <c r="N468" s="36"/>
      <c r="O468" s="36"/>
      <c r="P468" s="36"/>
      <c r="Q468" s="36"/>
      <c r="R468" s="36"/>
      <c r="S468" s="36"/>
      <c r="T468" s="36"/>
      <c r="U468" s="36"/>
      <c r="V468" s="36"/>
      <c r="W468" s="36"/>
      <c r="X468" s="36"/>
      <c r="Y468" s="36"/>
      <c r="Z468" s="36"/>
      <c r="AA468" s="36"/>
      <c r="AB468" s="200" t="str">
        <f>TEMPLATE_NAME&amp;" "&amp;TEMPLATE_VER</f>
        <v>AG Estimation Template -  Version 2.0.4</v>
      </c>
      <c r="AC468" s="36"/>
      <c r="AD468" s="10"/>
    </row>
    <row r="469" spans="1:30" s="9" customFormat="1" outlineLevel="1" x14ac:dyDescent="0.35">
      <c r="A469" s="86"/>
      <c r="C469" s="74"/>
      <c r="D469" s="74"/>
      <c r="E469" s="74"/>
      <c r="F469" s="72"/>
      <c r="G469" s="25"/>
      <c r="H469" s="25"/>
      <c r="I469" s="25"/>
      <c r="J469" s="25"/>
      <c r="K469" s="25"/>
      <c r="L469" s="25"/>
      <c r="M469" s="262"/>
      <c r="N469" s="28"/>
      <c r="O469" s="28"/>
      <c r="P469" s="25"/>
      <c r="Q469" s="25"/>
      <c r="R469" s="25"/>
      <c r="S469" s="25"/>
      <c r="T469" s="25"/>
      <c r="U469" s="25"/>
      <c r="V469" s="25"/>
      <c r="W469" s="25"/>
      <c r="X469" s="25"/>
      <c r="Y469" s="25"/>
      <c r="Z469" s="25"/>
      <c r="AA469" s="25"/>
      <c r="AB469" s="28"/>
      <c r="AC469" s="28"/>
      <c r="AD469" s="10"/>
    </row>
    <row r="470" spans="1:30" s="9" customFormat="1" ht="15" customHeight="1" outlineLevel="1" x14ac:dyDescent="0.35">
      <c r="A470" s="86"/>
      <c r="C470" s="74"/>
      <c r="D470" s="74"/>
      <c r="E470" s="74"/>
      <c r="F470" s="72"/>
      <c r="G470" s="25"/>
      <c r="H470" s="25"/>
      <c r="I470" s="25"/>
      <c r="J470" s="25"/>
      <c r="K470" s="25"/>
      <c r="L470" s="25"/>
      <c r="M470" s="262"/>
      <c r="N470" s="132" t="s">
        <v>438</v>
      </c>
      <c r="O470" s="28"/>
      <c r="P470" s="25"/>
      <c r="Q470" s="25"/>
      <c r="R470" s="25"/>
      <c r="S470" s="25"/>
      <c r="T470" s="25"/>
      <c r="U470" s="25"/>
      <c r="V470" s="25"/>
      <c r="W470" s="25"/>
      <c r="X470" s="25"/>
      <c r="Y470" s="25"/>
      <c r="Z470" s="25"/>
      <c r="AA470" s="25"/>
      <c r="AB470" s="28"/>
      <c r="AC470" s="28"/>
      <c r="AD470" s="10"/>
    </row>
    <row r="471" spans="1:30" s="9" customFormat="1" ht="14.25" customHeight="1" outlineLevel="1" x14ac:dyDescent="0.35">
      <c r="A471" s="86"/>
      <c r="C471" s="72"/>
      <c r="D471" s="72"/>
      <c r="E471" s="72"/>
      <c r="F471" s="72"/>
      <c r="G471" s="25"/>
      <c r="H471" s="25"/>
      <c r="I471" s="25"/>
      <c r="J471" s="25"/>
      <c r="K471" s="25"/>
      <c r="L471" s="25"/>
      <c r="M471" s="262"/>
      <c r="N471" s="146" t="s">
        <v>439</v>
      </c>
      <c r="O471" s="145" t="s">
        <v>440</v>
      </c>
      <c r="P471" s="172"/>
      <c r="Q471" s="172"/>
      <c r="R471" s="145"/>
      <c r="S471" s="172"/>
      <c r="T471" s="172"/>
      <c r="U471" s="172"/>
      <c r="V471" s="172"/>
      <c r="W471" s="172"/>
      <c r="X471" s="25"/>
      <c r="Y471" s="25"/>
      <c r="Z471" s="25"/>
      <c r="AA471" s="25"/>
      <c r="AB471" s="25"/>
      <c r="AC471" s="28"/>
      <c r="AD471" s="10"/>
    </row>
    <row r="472" spans="1:30" s="9" customFormat="1" ht="14.25" customHeight="1" outlineLevel="1" x14ac:dyDescent="0.35">
      <c r="A472" s="86"/>
      <c r="C472" s="72"/>
      <c r="D472" s="72"/>
      <c r="E472" s="72"/>
      <c r="F472" s="72"/>
      <c r="G472" s="25"/>
      <c r="H472" s="25"/>
      <c r="I472" s="25"/>
      <c r="J472" s="25"/>
      <c r="K472" s="25"/>
      <c r="L472" s="25"/>
      <c r="M472" s="262"/>
      <c r="N472" s="146" t="s">
        <v>441</v>
      </c>
      <c r="O472" s="145" t="s">
        <v>442</v>
      </c>
      <c r="P472" s="172"/>
      <c r="Q472" s="172"/>
      <c r="R472" s="172"/>
      <c r="S472" s="172"/>
      <c r="T472" s="172"/>
      <c r="U472" s="172"/>
      <c r="V472" s="172"/>
      <c r="W472" s="172"/>
      <c r="X472" s="25"/>
      <c r="Y472" s="25"/>
      <c r="Z472" s="25"/>
      <c r="AA472" s="25"/>
      <c r="AB472" s="25"/>
      <c r="AC472" s="28"/>
      <c r="AD472" s="10"/>
    </row>
    <row r="473" spans="1:30" s="9" customFormat="1" ht="14.25" customHeight="1" outlineLevel="1" x14ac:dyDescent="0.35">
      <c r="A473" s="86"/>
      <c r="C473" s="72"/>
      <c r="D473" s="72"/>
      <c r="E473" s="72"/>
      <c r="F473" s="72"/>
      <c r="G473" s="25"/>
      <c r="H473" s="25"/>
      <c r="I473" s="25"/>
      <c r="J473" s="25"/>
      <c r="K473" s="25"/>
      <c r="L473" s="25"/>
      <c r="M473" s="262"/>
      <c r="N473" s="146" t="s">
        <v>443</v>
      </c>
      <c r="O473" s="145" t="s">
        <v>444</v>
      </c>
      <c r="P473" s="172"/>
      <c r="Q473" s="172"/>
      <c r="R473" s="172"/>
      <c r="S473" s="130"/>
      <c r="T473" s="130"/>
      <c r="U473" s="130"/>
      <c r="V473" s="172"/>
      <c r="W473" s="172"/>
      <c r="X473" s="25"/>
      <c r="Y473" s="25"/>
      <c r="Z473" s="25"/>
      <c r="AA473" s="25"/>
      <c r="AB473" s="25"/>
      <c r="AC473" s="28"/>
      <c r="AD473" s="10"/>
    </row>
    <row r="474" spans="1:30" s="9" customFormat="1" ht="14.25" customHeight="1" outlineLevel="1" x14ac:dyDescent="0.35">
      <c r="A474" s="86"/>
      <c r="C474" s="72"/>
      <c r="D474" s="72"/>
      <c r="E474" s="72"/>
      <c r="F474" s="72"/>
      <c r="G474" s="25"/>
      <c r="H474" s="25"/>
      <c r="I474" s="25"/>
      <c r="J474" s="25"/>
      <c r="K474" s="25"/>
      <c r="L474" s="25"/>
      <c r="M474" s="262"/>
      <c r="N474" s="146" t="s">
        <v>445</v>
      </c>
      <c r="O474" s="145" t="s">
        <v>446</v>
      </c>
      <c r="P474" s="172"/>
      <c r="Q474" s="172"/>
      <c r="R474" s="172"/>
      <c r="S474" s="130"/>
      <c r="T474" s="130"/>
      <c r="U474" s="130"/>
      <c r="V474" s="172"/>
      <c r="W474" s="172"/>
      <c r="X474" s="25"/>
      <c r="Y474" s="25"/>
      <c r="Z474" s="25"/>
      <c r="AA474" s="25"/>
      <c r="AB474" s="25"/>
      <c r="AC474" s="28"/>
      <c r="AD474" s="10"/>
    </row>
    <row r="475" spans="1:30" s="9" customFormat="1" ht="14.25" customHeight="1" outlineLevel="1" x14ac:dyDescent="0.35">
      <c r="A475" s="86"/>
      <c r="C475" s="72"/>
      <c r="D475" s="72"/>
      <c r="E475" s="72"/>
      <c r="F475" s="72"/>
      <c r="G475" s="25"/>
      <c r="H475" s="25"/>
      <c r="I475" s="25"/>
      <c r="J475" s="25"/>
      <c r="K475" s="25"/>
      <c r="L475" s="25"/>
      <c r="M475" s="262"/>
      <c r="N475" s="146" t="s">
        <v>447</v>
      </c>
      <c r="O475" s="145" t="s">
        <v>442</v>
      </c>
      <c r="P475" s="172"/>
      <c r="Q475" s="172"/>
      <c r="R475" s="172"/>
      <c r="S475" s="130"/>
      <c r="T475" s="130"/>
      <c r="U475" s="130"/>
      <c r="V475" s="172"/>
      <c r="W475" s="172"/>
      <c r="X475" s="25"/>
      <c r="Y475" s="25"/>
      <c r="Z475" s="25"/>
      <c r="AA475" s="25"/>
      <c r="AB475" s="25"/>
      <c r="AC475" s="28"/>
      <c r="AD475" s="10"/>
    </row>
    <row r="476" spans="1:30" s="9" customFormat="1" ht="14.25" customHeight="1" outlineLevel="1" x14ac:dyDescent="0.35">
      <c r="A476" s="86"/>
      <c r="C476" s="72"/>
      <c r="D476" s="72"/>
      <c r="E476" s="72"/>
      <c r="F476" s="72"/>
      <c r="G476" s="25"/>
      <c r="H476" s="25"/>
      <c r="I476" s="25"/>
      <c r="J476" s="25"/>
      <c r="K476" s="25"/>
      <c r="L476" s="25"/>
      <c r="M476" s="262"/>
      <c r="N476" s="146" t="s">
        <v>448</v>
      </c>
      <c r="O476" s="145" t="s">
        <v>89</v>
      </c>
      <c r="P476" s="172"/>
      <c r="Q476" s="172"/>
      <c r="R476" s="145"/>
      <c r="S476" s="130"/>
      <c r="T476" s="130"/>
      <c r="U476" s="130"/>
      <c r="V476" s="172"/>
      <c r="W476" s="172"/>
      <c r="X476" s="25"/>
      <c r="Y476" s="25"/>
      <c r="Z476" s="25"/>
      <c r="AA476" s="25"/>
      <c r="AB476" s="25"/>
      <c r="AC476" s="28"/>
      <c r="AD476" s="10"/>
    </row>
    <row r="477" spans="1:30" s="9" customFormat="1" ht="14.25" customHeight="1" outlineLevel="1" x14ac:dyDescent="0.35">
      <c r="A477" s="86"/>
      <c r="C477" s="72"/>
      <c r="D477" s="72"/>
      <c r="E477" s="72"/>
      <c r="F477" s="72"/>
      <c r="G477" s="25"/>
      <c r="H477" s="25"/>
      <c r="I477" s="25"/>
      <c r="J477" s="25"/>
      <c r="K477" s="25"/>
      <c r="L477" s="25"/>
      <c r="M477" s="262"/>
      <c r="N477" s="146" t="s">
        <v>449</v>
      </c>
      <c r="O477" s="145" t="s">
        <v>450</v>
      </c>
      <c r="P477" s="172"/>
      <c r="Q477" s="172"/>
      <c r="R477" s="172"/>
      <c r="S477" s="130"/>
      <c r="T477" s="130"/>
      <c r="U477" s="130"/>
      <c r="V477" s="172"/>
      <c r="W477" s="172"/>
      <c r="X477" s="25"/>
      <c r="Y477" s="25"/>
      <c r="Z477" s="25"/>
      <c r="AA477" s="25"/>
      <c r="AB477" s="25"/>
      <c r="AC477" s="28"/>
      <c r="AD477" s="10"/>
    </row>
    <row r="478" spans="1:30" s="9" customFormat="1" ht="14.25" customHeight="1" outlineLevel="1" x14ac:dyDescent="0.35">
      <c r="A478" s="86"/>
      <c r="C478" s="72"/>
      <c r="D478" s="72"/>
      <c r="E478" s="72"/>
      <c r="F478" s="72"/>
      <c r="G478" s="25"/>
      <c r="H478" s="25"/>
      <c r="I478" s="25"/>
      <c r="J478" s="25"/>
      <c r="K478" s="25"/>
      <c r="L478" s="25"/>
      <c r="M478" s="262"/>
      <c r="N478" s="146" t="s">
        <v>451</v>
      </c>
      <c r="O478" s="145" t="s">
        <v>452</v>
      </c>
      <c r="P478" s="172"/>
      <c r="Q478" s="172"/>
      <c r="R478" s="172"/>
      <c r="S478" s="130"/>
      <c r="T478" s="130"/>
      <c r="U478" s="130"/>
      <c r="V478" s="172"/>
      <c r="W478" s="172"/>
      <c r="X478" s="25"/>
      <c r="Y478" s="25"/>
      <c r="Z478" s="25"/>
      <c r="AA478" s="25"/>
      <c r="AB478" s="25"/>
      <c r="AC478" s="28"/>
      <c r="AD478" s="10"/>
    </row>
    <row r="479" spans="1:30" s="9" customFormat="1" ht="14.25" customHeight="1" outlineLevel="1" x14ac:dyDescent="0.35">
      <c r="A479" s="86"/>
      <c r="C479" s="72"/>
      <c r="D479" s="72"/>
      <c r="E479" s="72"/>
      <c r="F479" s="72"/>
      <c r="G479" s="25"/>
      <c r="H479" s="25"/>
      <c r="I479" s="25"/>
      <c r="J479" s="25"/>
      <c r="K479" s="25"/>
      <c r="L479" s="25"/>
      <c r="M479" s="262"/>
      <c r="N479" s="146"/>
      <c r="O479" s="25"/>
      <c r="P479" s="25"/>
      <c r="Q479" s="25"/>
      <c r="R479" s="25"/>
      <c r="S479" s="129"/>
      <c r="T479" s="129"/>
      <c r="U479" s="129"/>
      <c r="V479" s="129"/>
      <c r="W479" s="129"/>
      <c r="X479" s="25"/>
      <c r="Y479" s="25"/>
      <c r="Z479" s="25"/>
      <c r="AA479" s="25"/>
      <c r="AB479" s="129"/>
      <c r="AC479" s="28"/>
      <c r="AD479" s="10"/>
    </row>
    <row r="480" spans="1:30" s="9" customFormat="1" ht="15" customHeight="1" outlineLevel="1" x14ac:dyDescent="0.35">
      <c r="A480" s="86"/>
      <c r="C480" s="74"/>
      <c r="D480" s="74"/>
      <c r="E480" s="74"/>
      <c r="F480" s="72"/>
      <c r="G480" s="25"/>
      <c r="H480" s="25"/>
      <c r="I480" s="25"/>
      <c r="J480" s="25"/>
      <c r="K480" s="25"/>
      <c r="L480" s="25"/>
      <c r="M480" s="262"/>
      <c r="N480" s="322" t="str">
        <f>"Total effort is "&amp;TEXT(TOTAL_EFFORT,"##,##,###")&amp;" PDs. How much up or down it can safely be without being way off?"</f>
        <v>Total effort is 757 PDs. How much up or down it can safely be without being way off?</v>
      </c>
      <c r="O480" s="132" t="s">
        <v>453</v>
      </c>
      <c r="P480" s="132" t="s">
        <v>454</v>
      </c>
      <c r="Q480" s="25"/>
      <c r="R480" s="25"/>
      <c r="S480" s="129"/>
      <c r="T480" s="129"/>
      <c r="U480" s="129"/>
      <c r="V480" s="129"/>
      <c r="W480" s="129"/>
      <c r="X480" s="25"/>
      <c r="Y480" s="25"/>
      <c r="Z480" s="25"/>
      <c r="AA480" s="25"/>
      <c r="AB480" s="28"/>
      <c r="AC480" s="28"/>
      <c r="AD480" s="10"/>
    </row>
    <row r="481" spans="1:30" s="9" customFormat="1" ht="15" customHeight="1" outlineLevel="1" x14ac:dyDescent="0.35">
      <c r="A481" s="86"/>
      <c r="C481" s="74"/>
      <c r="D481" s="74"/>
      <c r="E481" s="74"/>
      <c r="F481" s="72"/>
      <c r="G481" s="25"/>
      <c r="H481" s="25"/>
      <c r="I481" s="25"/>
      <c r="J481" s="25"/>
      <c r="K481" s="25"/>
      <c r="L481" s="25"/>
      <c r="M481" s="262"/>
      <c r="N481" s="294"/>
      <c r="O481" s="141">
        <v>-0.2</v>
      </c>
      <c r="P481" s="142">
        <v>0.2</v>
      </c>
      <c r="Q481" s="25"/>
      <c r="R481" s="25"/>
      <c r="S481" s="129"/>
      <c r="T481" s="129"/>
      <c r="U481" s="129"/>
      <c r="V481" s="129"/>
      <c r="W481" s="129"/>
      <c r="X481" s="25"/>
      <c r="Y481" s="25"/>
      <c r="Z481" s="25"/>
      <c r="AA481" s="25"/>
      <c r="AB481" s="28"/>
      <c r="AC481" s="28"/>
      <c r="AD481" s="10"/>
    </row>
    <row r="482" spans="1:30" s="9" customFormat="1" outlineLevel="1" x14ac:dyDescent="0.35">
      <c r="A482" s="86"/>
      <c r="C482" s="74"/>
      <c r="D482" s="74"/>
      <c r="E482" s="74"/>
      <c r="F482" s="72"/>
      <c r="G482" s="25"/>
      <c r="H482" s="25"/>
      <c r="I482" s="25"/>
      <c r="J482" s="25"/>
      <c r="K482" s="25"/>
      <c r="L482" s="25"/>
      <c r="M482" s="262"/>
      <c r="N482" s="294"/>
      <c r="O482" s="28"/>
      <c r="P482" s="25"/>
      <c r="Q482" s="25"/>
      <c r="R482" s="25"/>
      <c r="S482" s="25"/>
      <c r="T482" s="25"/>
      <c r="U482" s="25"/>
      <c r="V482" s="25"/>
      <c r="W482" s="25"/>
      <c r="X482" s="25"/>
      <c r="Y482" s="25"/>
      <c r="Z482" s="25"/>
      <c r="AA482" s="25"/>
      <c r="AB482" s="28"/>
      <c r="AC482" s="28"/>
      <c r="AD482" s="10"/>
    </row>
    <row r="483" spans="1:30" s="9" customFormat="1" outlineLevel="1" x14ac:dyDescent="0.35">
      <c r="A483" s="86"/>
      <c r="C483" s="74"/>
      <c r="D483" s="74"/>
      <c r="E483" s="74"/>
      <c r="F483" s="72"/>
      <c r="G483" s="25"/>
      <c r="H483" s="25"/>
      <c r="I483" s="25"/>
      <c r="J483" s="25"/>
      <c r="K483" s="25"/>
      <c r="L483" s="25"/>
      <c r="M483" s="262"/>
      <c r="N483" s="149" t="s">
        <v>455</v>
      </c>
      <c r="O483" s="129"/>
      <c r="P483" s="150" t="s">
        <v>456</v>
      </c>
      <c r="Q483" s="25"/>
      <c r="R483" s="25"/>
      <c r="S483" s="25"/>
      <c r="T483" s="25"/>
      <c r="U483" s="25"/>
      <c r="V483" s="25"/>
      <c r="W483" s="25"/>
      <c r="X483" s="25"/>
      <c r="Y483" s="25"/>
      <c r="Z483" s="25"/>
      <c r="AA483" s="25"/>
      <c r="AB483" s="28"/>
      <c r="AC483" s="28"/>
      <c r="AD483" s="10"/>
    </row>
    <row r="484" spans="1:30" s="9" customFormat="1" outlineLevel="1" x14ac:dyDescent="0.35">
      <c r="A484" s="86"/>
      <c r="C484" s="74"/>
      <c r="D484" s="74"/>
      <c r="E484" s="74"/>
      <c r="F484" s="72"/>
      <c r="G484" s="25"/>
      <c r="H484" s="25"/>
      <c r="I484" s="25"/>
      <c r="J484" s="25"/>
      <c r="K484" s="25"/>
      <c r="L484" s="25"/>
      <c r="M484" s="262"/>
      <c r="N484" s="240" t="s">
        <v>457</v>
      </c>
      <c r="O484" s="25"/>
      <c r="P484" s="148" t="s">
        <v>458</v>
      </c>
      <c r="Q484" s="131" t="s">
        <v>459</v>
      </c>
      <c r="R484" s="25"/>
      <c r="S484" s="25"/>
      <c r="T484" s="25"/>
      <c r="U484" s="25"/>
      <c r="V484" s="25"/>
      <c r="W484" s="25"/>
      <c r="X484" s="25"/>
      <c r="Y484" s="25"/>
      <c r="Z484" s="25"/>
      <c r="AA484" s="25"/>
      <c r="AB484" s="25"/>
      <c r="AC484" s="28"/>
      <c r="AD484" s="10"/>
    </row>
    <row r="485" spans="1:30" s="9" customFormat="1" outlineLevel="1" x14ac:dyDescent="0.35">
      <c r="A485" s="86"/>
      <c r="C485" s="74"/>
      <c r="D485" s="74"/>
      <c r="E485" s="74"/>
      <c r="F485" s="72"/>
      <c r="G485" s="25"/>
      <c r="H485" s="25"/>
      <c r="I485" s="25"/>
      <c r="J485" s="25"/>
      <c r="K485" s="25"/>
      <c r="L485" s="25"/>
      <c r="M485" s="262"/>
      <c r="N485" s="240" t="s">
        <v>460</v>
      </c>
      <c r="O485" s="25"/>
      <c r="P485" s="148" t="s">
        <v>461</v>
      </c>
      <c r="Q485" s="131" t="s">
        <v>462</v>
      </c>
      <c r="R485" s="25"/>
      <c r="S485" s="25"/>
      <c r="T485" s="25"/>
      <c r="U485" s="25"/>
      <c r="V485" s="25"/>
      <c r="W485" s="25"/>
      <c r="X485" s="25"/>
      <c r="Y485" s="25"/>
      <c r="Z485" s="25"/>
      <c r="AA485" s="25"/>
      <c r="AB485" s="25"/>
      <c r="AC485" s="28"/>
      <c r="AD485" s="10"/>
    </row>
    <row r="486" spans="1:30" s="9" customFormat="1" outlineLevel="1" x14ac:dyDescent="0.35">
      <c r="A486" s="86"/>
      <c r="C486" s="74"/>
      <c r="D486" s="74"/>
      <c r="E486" s="74"/>
      <c r="F486" s="72"/>
      <c r="G486" s="25"/>
      <c r="H486" s="25"/>
      <c r="I486" s="25"/>
      <c r="J486" s="25"/>
      <c r="K486" s="25"/>
      <c r="L486" s="25"/>
      <c r="M486" s="262"/>
      <c r="N486" s="240" t="s">
        <v>463</v>
      </c>
      <c r="O486" s="25"/>
      <c r="P486" s="25"/>
      <c r="Q486" s="25"/>
      <c r="R486" s="25"/>
      <c r="S486" s="25"/>
      <c r="T486" s="25"/>
      <c r="U486" s="148"/>
      <c r="V486" s="25"/>
      <c r="W486" s="25"/>
      <c r="X486" s="25"/>
      <c r="Y486" s="25"/>
      <c r="Z486" s="25"/>
      <c r="AA486" s="25"/>
      <c r="AB486" s="25"/>
      <c r="AC486" s="28"/>
      <c r="AD486" s="10"/>
    </row>
    <row r="487" spans="1:30" s="9" customFormat="1" ht="15" customHeight="1" outlineLevel="1" x14ac:dyDescent="0.35">
      <c r="A487" s="86"/>
      <c r="C487" s="74"/>
      <c r="D487" s="74"/>
      <c r="E487" s="74"/>
      <c r="F487" s="72"/>
      <c r="G487" s="25"/>
      <c r="H487" s="25"/>
      <c r="I487" s="25"/>
      <c r="J487" s="25"/>
      <c r="K487" s="25"/>
      <c r="L487" s="25"/>
      <c r="M487" s="262"/>
      <c r="N487" s="240" t="s">
        <v>464</v>
      </c>
      <c r="O487" s="25"/>
      <c r="P487" s="25"/>
      <c r="Q487" s="25"/>
      <c r="R487" s="25"/>
      <c r="S487" s="25"/>
      <c r="T487" s="25"/>
      <c r="U487" s="25"/>
      <c r="V487" s="25"/>
      <c r="W487" s="25"/>
      <c r="X487" s="25"/>
      <c r="Y487" s="25"/>
      <c r="Z487" s="25"/>
      <c r="AA487" s="25"/>
      <c r="AB487" s="25"/>
      <c r="AC487" s="28"/>
      <c r="AD487" s="10"/>
    </row>
    <row r="488" spans="1:30" s="9" customFormat="1" outlineLevel="1" x14ac:dyDescent="0.35">
      <c r="A488" s="86"/>
      <c r="C488" s="74"/>
      <c r="D488" s="74"/>
      <c r="E488" s="74"/>
      <c r="F488" s="72"/>
      <c r="G488" s="25"/>
      <c r="H488" s="25"/>
      <c r="I488" s="25"/>
      <c r="J488" s="25"/>
      <c r="K488" s="25"/>
      <c r="L488" s="25"/>
      <c r="M488" s="262"/>
      <c r="N488" s="240" t="s">
        <v>465</v>
      </c>
      <c r="O488" s="25"/>
      <c r="P488" s="25"/>
      <c r="Q488" s="25"/>
      <c r="R488" s="25"/>
      <c r="S488" s="25"/>
      <c r="T488" s="25"/>
      <c r="U488" s="25"/>
      <c r="V488" s="25"/>
      <c r="W488" s="25"/>
      <c r="X488" s="25"/>
      <c r="Y488" s="25"/>
      <c r="Z488" s="25"/>
      <c r="AA488" s="25"/>
      <c r="AB488" s="25"/>
      <c r="AC488" s="28"/>
      <c r="AD488" s="10"/>
    </row>
    <row r="489" spans="1:30" s="9" customFormat="1" outlineLevel="1" x14ac:dyDescent="0.35">
      <c r="A489" s="86"/>
      <c r="C489" s="74"/>
      <c r="D489" s="74"/>
      <c r="E489" s="74"/>
      <c r="F489" s="72"/>
      <c r="G489" s="25"/>
      <c r="H489" s="25"/>
      <c r="I489" s="25"/>
      <c r="J489" s="25"/>
      <c r="K489" s="25"/>
      <c r="L489" s="25"/>
      <c r="M489" s="262"/>
      <c r="N489" s="240" t="s">
        <v>466</v>
      </c>
      <c r="O489" s="25"/>
      <c r="P489" s="25"/>
      <c r="Q489" s="25"/>
      <c r="R489" s="25"/>
      <c r="S489" s="25"/>
      <c r="T489" s="25"/>
      <c r="U489" s="25"/>
      <c r="V489" s="25"/>
      <c r="W489" s="25"/>
      <c r="X489" s="25"/>
      <c r="Y489" s="25"/>
      <c r="Z489" s="25"/>
      <c r="AA489" s="25"/>
      <c r="AB489" s="25"/>
      <c r="AC489" s="28"/>
      <c r="AD489" s="10"/>
    </row>
    <row r="490" spans="1:30" s="9" customFormat="1" outlineLevel="1" x14ac:dyDescent="0.35">
      <c r="A490" s="86"/>
      <c r="C490" s="74"/>
      <c r="D490" s="74"/>
      <c r="E490" s="74"/>
      <c r="F490" s="72"/>
      <c r="G490" s="25"/>
      <c r="H490" s="25"/>
      <c r="I490" s="25"/>
      <c r="J490" s="25"/>
      <c r="K490" s="25"/>
      <c r="L490" s="25"/>
      <c r="M490" s="262"/>
      <c r="N490" s="240" t="s">
        <v>467</v>
      </c>
      <c r="O490" s="25"/>
      <c r="P490" s="25"/>
      <c r="Q490" s="25"/>
      <c r="R490" s="25"/>
      <c r="S490" s="25"/>
      <c r="T490" s="25"/>
      <c r="U490" s="25"/>
      <c r="V490" s="25"/>
      <c r="W490" s="25"/>
      <c r="X490" s="25"/>
      <c r="Y490" s="25"/>
      <c r="Z490" s="25"/>
      <c r="AA490" s="25"/>
      <c r="AB490" s="25"/>
      <c r="AC490" s="28"/>
      <c r="AD490" s="10"/>
    </row>
    <row r="491" spans="1:30" s="9" customFormat="1" outlineLevel="1" x14ac:dyDescent="0.35">
      <c r="A491" s="86"/>
      <c r="C491" s="74"/>
      <c r="D491" s="74"/>
      <c r="E491" s="74"/>
      <c r="F491" s="72"/>
      <c r="G491" s="25"/>
      <c r="H491" s="25"/>
      <c r="I491" s="25"/>
      <c r="J491" s="25"/>
      <c r="K491" s="25"/>
      <c r="L491" s="25"/>
      <c r="M491" s="262"/>
      <c r="N491" s="240" t="s">
        <v>468</v>
      </c>
      <c r="O491" s="28"/>
      <c r="P491" s="131"/>
      <c r="Q491" s="25"/>
      <c r="R491" s="25"/>
      <c r="S491" s="25"/>
      <c r="T491" s="25"/>
      <c r="U491" s="25"/>
      <c r="V491" s="25"/>
      <c r="W491" s="25"/>
      <c r="X491" s="25"/>
      <c r="Y491" s="25"/>
      <c r="Z491" s="25"/>
      <c r="AA491" s="25"/>
      <c r="AB491" s="25"/>
      <c r="AC491" s="28"/>
      <c r="AD491" s="10"/>
    </row>
    <row r="492" spans="1:30" s="9" customFormat="1" outlineLevel="1" x14ac:dyDescent="0.35">
      <c r="A492" s="86"/>
      <c r="C492" s="74"/>
      <c r="D492" s="74"/>
      <c r="E492" s="74"/>
      <c r="F492" s="72"/>
      <c r="G492" s="25"/>
      <c r="H492" s="25"/>
      <c r="I492" s="25"/>
      <c r="J492" s="25"/>
      <c r="K492" s="25"/>
      <c r="L492" s="25"/>
      <c r="M492" s="262"/>
      <c r="N492" s="240" t="s">
        <v>469</v>
      </c>
      <c r="O492" s="28"/>
      <c r="P492" s="25"/>
      <c r="Q492" s="25"/>
      <c r="R492" s="25"/>
      <c r="S492" s="25"/>
      <c r="T492" s="25"/>
      <c r="U492" s="25"/>
      <c r="V492" s="25"/>
      <c r="W492" s="25"/>
      <c r="X492" s="25"/>
      <c r="Y492" s="25"/>
      <c r="Z492" s="25"/>
      <c r="AA492" s="25"/>
      <c r="AB492" s="25"/>
      <c r="AC492" s="28"/>
      <c r="AD492" s="10"/>
    </row>
    <row r="493" spans="1:30" s="9" customFormat="1" outlineLevel="1" x14ac:dyDescent="0.35">
      <c r="A493" s="86"/>
      <c r="C493" s="74"/>
      <c r="D493" s="74"/>
      <c r="E493" s="74"/>
      <c r="F493" s="72"/>
      <c r="G493" s="25"/>
      <c r="H493" s="25"/>
      <c r="I493" s="25"/>
      <c r="J493" s="25"/>
      <c r="K493" s="25"/>
      <c r="L493" s="25"/>
      <c r="M493" s="262"/>
      <c r="N493" s="240" t="s">
        <v>470</v>
      </c>
      <c r="O493" s="28"/>
      <c r="P493" s="25"/>
      <c r="Q493" s="25"/>
      <c r="R493" s="25"/>
      <c r="S493" s="25"/>
      <c r="T493" s="25"/>
      <c r="U493" s="25"/>
      <c r="V493" s="25"/>
      <c r="W493" s="25"/>
      <c r="X493" s="25"/>
      <c r="Y493" s="25"/>
      <c r="Z493" s="25"/>
      <c r="AA493" s="25"/>
      <c r="AB493" s="25"/>
      <c r="AC493" s="28"/>
      <c r="AD493" s="10"/>
    </row>
    <row r="494" spans="1:30" s="9" customFormat="1" outlineLevel="1" x14ac:dyDescent="0.35">
      <c r="A494" s="86"/>
      <c r="C494" s="74"/>
      <c r="D494" s="74"/>
      <c r="E494" s="74"/>
      <c r="F494" s="72"/>
      <c r="G494" s="25"/>
      <c r="H494" s="25"/>
      <c r="I494" s="25"/>
      <c r="J494" s="25"/>
      <c r="K494" s="25"/>
      <c r="L494" s="25"/>
      <c r="M494" s="262"/>
      <c r="N494" s="240" t="s">
        <v>471</v>
      </c>
      <c r="O494" s="28"/>
      <c r="P494" s="25"/>
      <c r="Q494" s="25"/>
      <c r="R494" s="25"/>
      <c r="S494" s="25"/>
      <c r="T494" s="25"/>
      <c r="U494" s="25"/>
      <c r="V494" s="25"/>
      <c r="W494" s="25"/>
      <c r="X494" s="25"/>
      <c r="Y494" s="25"/>
      <c r="Z494" s="25"/>
      <c r="AA494" s="25"/>
      <c r="AB494" s="25"/>
      <c r="AC494" s="28"/>
      <c r="AD494" s="10"/>
    </row>
    <row r="495" spans="1:30" s="9" customFormat="1" outlineLevel="1" x14ac:dyDescent="0.35">
      <c r="A495" s="86"/>
      <c r="C495" s="74"/>
      <c r="D495" s="74"/>
      <c r="E495" s="74"/>
      <c r="F495" s="72"/>
      <c r="G495" s="25"/>
      <c r="H495" s="25"/>
      <c r="I495" s="25"/>
      <c r="J495" s="25"/>
      <c r="K495" s="25"/>
      <c r="L495" s="25"/>
      <c r="M495" s="262"/>
      <c r="N495" s="240" t="s">
        <v>472</v>
      </c>
      <c r="O495" s="28"/>
      <c r="P495" s="25"/>
      <c r="Q495" s="25"/>
      <c r="R495" s="25"/>
      <c r="S495" s="25"/>
      <c r="T495" s="25"/>
      <c r="U495" s="25"/>
      <c r="V495" s="25"/>
      <c r="W495" s="25"/>
      <c r="X495" s="25"/>
      <c r="Y495" s="25"/>
      <c r="Z495" s="25"/>
      <c r="AA495" s="25"/>
      <c r="AB495" s="25"/>
      <c r="AC495" s="28"/>
      <c r="AD495" s="10"/>
    </row>
    <row r="496" spans="1:30" s="9" customFormat="1" outlineLevel="1" x14ac:dyDescent="0.35">
      <c r="A496" s="86"/>
      <c r="C496" s="74"/>
      <c r="D496" s="74"/>
      <c r="E496" s="74"/>
      <c r="F496" s="72"/>
      <c r="G496" s="25"/>
      <c r="H496" s="25"/>
      <c r="I496" s="25"/>
      <c r="J496" s="25"/>
      <c r="K496" s="25"/>
      <c r="L496" s="25"/>
      <c r="M496" s="262"/>
      <c r="N496" s="240" t="s">
        <v>473</v>
      </c>
      <c r="O496" s="28"/>
      <c r="P496" s="25"/>
      <c r="Q496" s="25"/>
      <c r="R496" s="25"/>
      <c r="S496" s="25"/>
      <c r="T496" s="25"/>
      <c r="U496" s="25"/>
      <c r="V496" s="25"/>
      <c r="W496" s="25"/>
      <c r="X496" s="25"/>
      <c r="Y496" s="25"/>
      <c r="Z496" s="25"/>
      <c r="AA496" s="25"/>
      <c r="AB496" s="25"/>
      <c r="AC496" s="28"/>
      <c r="AD496" s="10"/>
    </row>
    <row r="497" spans="1:30" s="9" customFormat="1" outlineLevel="1" x14ac:dyDescent="0.35">
      <c r="A497" s="86"/>
      <c r="C497" s="74"/>
      <c r="D497" s="74"/>
      <c r="E497" s="74"/>
      <c r="F497" s="72"/>
      <c r="G497" s="25"/>
      <c r="H497" s="25"/>
      <c r="I497" s="25"/>
      <c r="J497" s="25"/>
      <c r="K497" s="25"/>
      <c r="L497" s="25"/>
      <c r="M497" s="262"/>
      <c r="N497" s="240" t="s">
        <v>474</v>
      </c>
      <c r="O497" s="28"/>
      <c r="P497" s="25"/>
      <c r="Q497" s="25"/>
      <c r="R497" s="25"/>
      <c r="S497" s="25"/>
      <c r="T497" s="25"/>
      <c r="U497" s="25"/>
      <c r="V497" s="25"/>
      <c r="W497" s="25"/>
      <c r="X497" s="25"/>
      <c r="Y497" s="25"/>
      <c r="Z497" s="25"/>
      <c r="AA497" s="25"/>
      <c r="AB497" s="25"/>
      <c r="AC497" s="28"/>
      <c r="AD497" s="10"/>
    </row>
    <row r="498" spans="1:30" s="9" customFormat="1" outlineLevel="1" x14ac:dyDescent="0.35">
      <c r="A498" s="86"/>
      <c r="C498" s="74"/>
      <c r="D498" s="74"/>
      <c r="E498" s="74"/>
      <c r="F498" s="72"/>
      <c r="G498" s="25"/>
      <c r="H498" s="25"/>
      <c r="I498" s="25"/>
      <c r="J498" s="25"/>
      <c r="K498" s="25"/>
      <c r="L498" s="25"/>
      <c r="M498" s="262"/>
      <c r="N498" s="240" t="s">
        <v>475</v>
      </c>
      <c r="O498" s="28"/>
      <c r="P498" s="25"/>
      <c r="Q498" s="25"/>
      <c r="R498" s="25"/>
      <c r="S498" s="25"/>
      <c r="T498" s="25"/>
      <c r="U498" s="25"/>
      <c r="V498" s="25"/>
      <c r="W498" s="25"/>
      <c r="X498" s="25"/>
      <c r="Y498" s="25"/>
      <c r="Z498" s="25"/>
      <c r="AA498" s="25"/>
      <c r="AB498" s="25"/>
      <c r="AC498" s="28"/>
      <c r="AD498" s="10"/>
    </row>
    <row r="499" spans="1:30" s="9" customFormat="1" outlineLevel="1" x14ac:dyDescent="0.35">
      <c r="A499" s="86"/>
      <c r="C499" s="74"/>
      <c r="D499" s="74"/>
      <c r="E499" s="74"/>
      <c r="F499" s="72"/>
      <c r="G499" s="25"/>
      <c r="H499" s="25"/>
      <c r="I499" s="25"/>
      <c r="J499" s="25"/>
      <c r="K499" s="25"/>
      <c r="L499" s="25"/>
      <c r="M499" s="262"/>
      <c r="N499" s="240" t="s">
        <v>476</v>
      </c>
      <c r="O499" s="28"/>
      <c r="P499" s="25"/>
      <c r="Q499" s="25"/>
      <c r="R499" s="25"/>
      <c r="S499" s="25"/>
      <c r="T499" s="25"/>
      <c r="U499" s="25"/>
      <c r="V499" s="25"/>
      <c r="W499" s="25"/>
      <c r="X499" s="25"/>
      <c r="Y499" s="25"/>
      <c r="Z499" s="25"/>
      <c r="AA499" s="25"/>
      <c r="AB499" s="25"/>
      <c r="AC499" s="28"/>
      <c r="AD499" s="10"/>
    </row>
    <row r="500" spans="1:30" s="9" customFormat="1" outlineLevel="1" x14ac:dyDescent="0.35">
      <c r="A500" s="86"/>
      <c r="C500" s="74"/>
      <c r="D500" s="74"/>
      <c r="E500" s="74"/>
      <c r="F500" s="72"/>
      <c r="G500" s="25"/>
      <c r="H500" s="25"/>
      <c r="I500" s="25"/>
      <c r="J500" s="25"/>
      <c r="K500" s="25"/>
      <c r="L500" s="25"/>
      <c r="M500" s="262"/>
      <c r="N500" s="240" t="s">
        <v>477</v>
      </c>
      <c r="O500" s="28"/>
      <c r="P500" s="25"/>
      <c r="Q500" s="25"/>
      <c r="R500" s="25"/>
      <c r="S500" s="25"/>
      <c r="T500" s="25"/>
      <c r="U500" s="25"/>
      <c r="V500" s="25"/>
      <c r="W500" s="25"/>
      <c r="X500" s="25"/>
      <c r="Y500" s="25"/>
      <c r="Z500" s="25"/>
      <c r="AA500" s="25"/>
      <c r="AB500" s="25"/>
      <c r="AC500" s="28"/>
      <c r="AD500" s="10"/>
    </row>
    <row r="501" spans="1:30" s="9" customFormat="1" outlineLevel="1" x14ac:dyDescent="0.35">
      <c r="A501" s="86"/>
      <c r="C501" s="74"/>
      <c r="D501" s="74"/>
      <c r="E501" s="74"/>
      <c r="F501" s="72"/>
      <c r="G501" s="25"/>
      <c r="H501" s="25"/>
      <c r="I501" s="25"/>
      <c r="J501" s="25"/>
      <c r="K501" s="25"/>
      <c r="L501" s="25"/>
      <c r="M501" s="262"/>
      <c r="N501" s="240" t="s">
        <v>478</v>
      </c>
      <c r="O501" s="28"/>
      <c r="P501" s="25"/>
      <c r="Q501" s="25"/>
      <c r="R501" s="25"/>
      <c r="S501" s="25"/>
      <c r="T501" s="25"/>
      <c r="U501" s="25"/>
      <c r="V501" s="25"/>
      <c r="W501" s="25"/>
      <c r="X501" s="25"/>
      <c r="Y501" s="25"/>
      <c r="Z501" s="25"/>
      <c r="AA501" s="25"/>
      <c r="AB501" s="25"/>
      <c r="AC501" s="28"/>
      <c r="AD501" s="10"/>
    </row>
    <row r="502" spans="1:30" s="9" customFormat="1" outlineLevel="1" x14ac:dyDescent="0.35">
      <c r="A502" s="86"/>
      <c r="C502" s="74"/>
      <c r="D502" s="74"/>
      <c r="E502" s="74"/>
      <c r="F502" s="72"/>
      <c r="G502" s="25"/>
      <c r="H502" s="25"/>
      <c r="I502" s="25"/>
      <c r="J502" s="25"/>
      <c r="K502" s="25"/>
      <c r="L502" s="25"/>
      <c r="M502" s="262"/>
      <c r="N502" s="240" t="s">
        <v>479</v>
      </c>
      <c r="O502" s="28"/>
      <c r="P502" s="25"/>
      <c r="Q502" s="25"/>
      <c r="R502" s="25"/>
      <c r="S502" s="25"/>
      <c r="T502" s="25"/>
      <c r="U502" s="25"/>
      <c r="V502" s="25"/>
      <c r="W502" s="25"/>
      <c r="X502" s="25"/>
      <c r="Y502" s="25"/>
      <c r="Z502" s="25"/>
      <c r="AA502" s="25"/>
      <c r="AB502" s="25"/>
      <c r="AC502" s="28"/>
      <c r="AD502" s="10"/>
    </row>
    <row r="503" spans="1:30" s="9" customFormat="1" outlineLevel="1" x14ac:dyDescent="0.35">
      <c r="A503" s="86"/>
      <c r="C503" s="74"/>
      <c r="D503" s="74"/>
      <c r="E503" s="74"/>
      <c r="F503" s="72"/>
      <c r="G503" s="25"/>
      <c r="H503" s="25"/>
      <c r="I503" s="25"/>
      <c r="J503" s="25"/>
      <c r="K503" s="25"/>
      <c r="L503" s="25"/>
      <c r="M503" s="262"/>
      <c r="N503" s="240" t="s">
        <v>480</v>
      </c>
      <c r="O503" s="28"/>
      <c r="P503" s="25"/>
      <c r="Q503" s="25"/>
      <c r="R503" s="25"/>
      <c r="S503" s="25"/>
      <c r="T503" s="25"/>
      <c r="U503" s="25"/>
      <c r="V503" s="25"/>
      <c r="W503" s="25"/>
      <c r="X503" s="25"/>
      <c r="Y503" s="25"/>
      <c r="Z503" s="25"/>
      <c r="AA503" s="25"/>
      <c r="AB503" s="25"/>
      <c r="AC503" s="28"/>
      <c r="AD503" s="10"/>
    </row>
    <row r="504" spans="1:30" s="9" customFormat="1" outlineLevel="1" x14ac:dyDescent="0.35">
      <c r="A504" s="86"/>
      <c r="C504" s="74"/>
      <c r="D504" s="74"/>
      <c r="E504" s="74"/>
      <c r="F504" s="72"/>
      <c r="G504" s="25"/>
      <c r="H504" s="25"/>
      <c r="I504" s="25"/>
      <c r="J504" s="25"/>
      <c r="K504" s="25"/>
      <c r="L504" s="25"/>
      <c r="M504" s="262"/>
      <c r="N504" s="129"/>
      <c r="O504" s="28"/>
      <c r="P504" s="25"/>
      <c r="Q504" s="25"/>
      <c r="R504" s="25"/>
      <c r="S504" s="25"/>
      <c r="T504" s="25"/>
      <c r="U504" s="25"/>
      <c r="V504" s="25"/>
      <c r="W504" s="25"/>
      <c r="X504" s="25"/>
      <c r="Y504" s="25"/>
      <c r="Z504" s="25"/>
      <c r="AA504" s="25"/>
      <c r="AB504" s="25"/>
      <c r="AC504" s="28"/>
      <c r="AD504" s="10"/>
    </row>
    <row r="505" spans="1:30" s="9" customFormat="1" ht="15" customHeight="1" outlineLevel="1" x14ac:dyDescent="0.3">
      <c r="A505" s="86"/>
      <c r="C505" s="74"/>
      <c r="D505" s="74"/>
      <c r="E505" s="74"/>
      <c r="F505" s="72"/>
      <c r="G505" s="25"/>
      <c r="H505" s="25"/>
      <c r="I505" s="25"/>
      <c r="J505" s="25"/>
      <c r="K505" s="25"/>
      <c r="L505" s="25"/>
      <c r="M505" s="262"/>
      <c r="N505" s="153" t="s">
        <v>481</v>
      </c>
      <c r="O505" s="153" t="s">
        <v>482</v>
      </c>
      <c r="P505" s="25"/>
      <c r="Q505" s="171"/>
      <c r="R505" s="171"/>
      <c r="S505" s="25"/>
      <c r="T505" s="25"/>
      <c r="U505" s="25"/>
      <c r="V505" s="25"/>
      <c r="W505" s="25"/>
      <c r="X505" s="25"/>
      <c r="Y505" s="25"/>
      <c r="Z505" s="25"/>
      <c r="AA505" s="25"/>
      <c r="AB505" s="28"/>
      <c r="AC505" s="28"/>
      <c r="AD505" s="10"/>
    </row>
    <row r="506" spans="1:30" s="9" customFormat="1" ht="15" customHeight="1" outlineLevel="1" x14ac:dyDescent="0.35">
      <c r="A506" s="86"/>
      <c r="C506" s="74"/>
      <c r="D506" s="74"/>
      <c r="E506" s="74"/>
      <c r="F506" s="72"/>
      <c r="G506" s="25"/>
      <c r="H506" s="25"/>
      <c r="I506" s="25"/>
      <c r="J506" s="25"/>
      <c r="K506" s="25"/>
      <c r="L506" s="25"/>
      <c r="M506" s="262"/>
      <c r="N506" s="147" t="s">
        <v>483</v>
      </c>
      <c r="O506" s="152">
        <v>0.5</v>
      </c>
      <c r="P506" s="304" t="s">
        <v>484</v>
      </c>
      <c r="Q506" s="294"/>
      <c r="R506" s="294"/>
      <c r="S506" s="25"/>
      <c r="T506" s="25"/>
      <c r="U506" s="25"/>
      <c r="V506" s="25"/>
      <c r="W506" s="25"/>
      <c r="X506" s="25"/>
      <c r="Y506" s="25"/>
      <c r="Z506" s="25"/>
      <c r="AA506" s="25"/>
      <c r="AB506" s="28"/>
      <c r="AC506" s="28"/>
      <c r="AD506" s="10"/>
    </row>
    <row r="507" spans="1:30" s="9" customFormat="1" outlineLevel="1" x14ac:dyDescent="0.35">
      <c r="A507" s="86"/>
      <c r="C507" s="74"/>
      <c r="D507" s="74"/>
      <c r="E507" s="74"/>
      <c r="F507" s="72"/>
      <c r="G507" s="25"/>
      <c r="H507" s="25"/>
      <c r="I507" s="25"/>
      <c r="J507" s="25"/>
      <c r="K507" s="25"/>
      <c r="L507" s="25"/>
      <c r="M507" s="262"/>
      <c r="N507" s="147" t="s">
        <v>485</v>
      </c>
      <c r="O507" s="152">
        <v>0.25</v>
      </c>
      <c r="P507" s="294"/>
      <c r="Q507" s="294"/>
      <c r="R507" s="294"/>
      <c r="S507" s="25"/>
      <c r="T507" s="25"/>
      <c r="U507" s="25"/>
      <c r="V507" s="25"/>
      <c r="W507" s="25"/>
      <c r="X507" s="25"/>
      <c r="Y507" s="25"/>
      <c r="Z507" s="25"/>
      <c r="AA507" s="25"/>
      <c r="AB507" s="28"/>
      <c r="AC507" s="28"/>
      <c r="AD507" s="10"/>
    </row>
    <row r="508" spans="1:30" s="9" customFormat="1" outlineLevel="1" x14ac:dyDescent="0.35">
      <c r="A508" s="86"/>
      <c r="C508" s="74"/>
      <c r="D508" s="74"/>
      <c r="E508" s="74"/>
      <c r="F508" s="72"/>
      <c r="G508" s="25"/>
      <c r="H508" s="25"/>
      <c r="I508" s="25"/>
      <c r="J508" s="25"/>
      <c r="K508" s="25"/>
      <c r="L508" s="25"/>
      <c r="M508" s="262"/>
      <c r="N508" s="28"/>
      <c r="O508" s="28"/>
      <c r="P508" s="294"/>
      <c r="Q508" s="294"/>
      <c r="R508" s="294"/>
      <c r="S508" s="25"/>
      <c r="T508" s="25"/>
      <c r="U508" s="25"/>
      <c r="V508" s="25"/>
      <c r="W508" s="25"/>
      <c r="X508" s="25"/>
      <c r="Y508" s="25"/>
      <c r="Z508" s="25"/>
      <c r="AA508" s="25"/>
      <c r="AB508" s="28"/>
      <c r="AC508" s="28"/>
      <c r="AD508" s="10"/>
    </row>
    <row r="509" spans="1:30" s="9" customFormat="1" outlineLevel="1" x14ac:dyDescent="0.35">
      <c r="A509" s="86"/>
      <c r="C509" s="74"/>
      <c r="D509" s="74"/>
      <c r="E509" s="74"/>
      <c r="F509" s="72"/>
      <c r="G509" s="25"/>
      <c r="H509" s="25"/>
      <c r="I509" s="25"/>
      <c r="J509" s="25"/>
      <c r="K509" s="25"/>
      <c r="L509" s="25"/>
      <c r="M509" s="262"/>
      <c r="N509" s="28"/>
      <c r="O509" s="28"/>
      <c r="P509" s="294"/>
      <c r="Q509" s="294"/>
      <c r="R509" s="294"/>
      <c r="S509" s="25"/>
      <c r="T509" s="25"/>
      <c r="U509" s="25"/>
      <c r="V509" s="25"/>
      <c r="W509" s="25"/>
      <c r="X509" s="25"/>
      <c r="Y509" s="25"/>
      <c r="Z509" s="25"/>
      <c r="AA509" s="25"/>
      <c r="AB509" s="28"/>
      <c r="AC509" s="28"/>
      <c r="AD509" s="10"/>
    </row>
    <row r="510" spans="1:30" s="9" customFormat="1" outlineLevel="1" x14ac:dyDescent="0.3">
      <c r="A510" s="86"/>
      <c r="C510" s="74"/>
      <c r="D510" s="74"/>
      <c r="E510" s="74"/>
      <c r="F510" s="72"/>
      <c r="G510" s="25"/>
      <c r="H510" s="25"/>
      <c r="I510" s="25"/>
      <c r="J510" s="25"/>
      <c r="K510" s="25"/>
      <c r="L510" s="25"/>
      <c r="M510" s="262"/>
      <c r="N510" s="149" t="s">
        <v>33</v>
      </c>
      <c r="O510" s="153" t="s">
        <v>482</v>
      </c>
      <c r="P510" s="25"/>
      <c r="Q510" s="25"/>
      <c r="R510" s="25"/>
      <c r="S510" s="25"/>
      <c r="T510" s="25"/>
      <c r="U510" s="25"/>
      <c r="V510" s="25"/>
      <c r="W510" s="25"/>
      <c r="X510" s="25"/>
      <c r="Y510" s="25"/>
      <c r="Z510" s="25"/>
      <c r="AA510" s="25"/>
      <c r="AB510" s="28"/>
      <c r="AC510" s="28"/>
      <c r="AD510" s="10"/>
    </row>
    <row r="511" spans="1:30" s="9" customFormat="1" outlineLevel="1" x14ac:dyDescent="0.35">
      <c r="A511" s="86"/>
      <c r="C511" s="74"/>
      <c r="D511" s="74"/>
      <c r="E511" s="74"/>
      <c r="F511" s="72"/>
      <c r="G511" s="25"/>
      <c r="H511" s="25"/>
      <c r="I511" s="25"/>
      <c r="J511" s="25"/>
      <c r="K511" s="25"/>
      <c r="L511" s="25"/>
      <c r="M511" s="262"/>
      <c r="N511" s="248" t="s">
        <v>59</v>
      </c>
      <c r="O511" s="249">
        <v>0</v>
      </c>
      <c r="P511" s="304" t="s">
        <v>486</v>
      </c>
      <c r="Q511" s="294"/>
      <c r="R511" s="25"/>
      <c r="S511" s="25"/>
      <c r="T511" s="25"/>
      <c r="U511" s="25"/>
      <c r="V511" s="25"/>
      <c r="W511" s="25"/>
      <c r="X511" s="25"/>
      <c r="Y511" s="25"/>
      <c r="Z511" s="25"/>
      <c r="AA511" s="25"/>
      <c r="AB511" s="28"/>
      <c r="AC511" s="28"/>
      <c r="AD511" s="10"/>
    </row>
    <row r="512" spans="1:30" s="9" customFormat="1" ht="15" customHeight="1" outlineLevel="1" x14ac:dyDescent="0.35">
      <c r="A512" s="86"/>
      <c r="C512" s="74"/>
      <c r="D512" s="74"/>
      <c r="E512" s="74"/>
      <c r="F512" s="72"/>
      <c r="G512" s="25"/>
      <c r="H512" s="25"/>
      <c r="I512" s="25"/>
      <c r="J512" s="25"/>
      <c r="K512" s="25"/>
      <c r="L512" s="25"/>
      <c r="M512" s="262"/>
      <c r="N512" s="248" t="s">
        <v>183</v>
      </c>
      <c r="O512" s="249">
        <v>0.25</v>
      </c>
      <c r="P512" s="294"/>
      <c r="Q512" s="294"/>
      <c r="R512" s="25"/>
      <c r="S512" s="25"/>
      <c r="T512" s="25"/>
      <c r="U512" s="25"/>
      <c r="V512" s="25"/>
      <c r="W512" s="25"/>
      <c r="X512" s="25"/>
      <c r="Y512" s="25"/>
      <c r="Z512" s="25"/>
      <c r="AA512" s="25"/>
      <c r="AB512" s="28"/>
      <c r="AC512" s="28"/>
      <c r="AD512" s="10"/>
    </row>
    <row r="513" spans="1:30" s="9" customFormat="1" outlineLevel="1" x14ac:dyDescent="0.35">
      <c r="A513" s="86"/>
      <c r="C513" s="74"/>
      <c r="D513" s="74"/>
      <c r="E513" s="74"/>
      <c r="F513" s="72"/>
      <c r="G513" s="25"/>
      <c r="H513" s="25"/>
      <c r="I513" s="25"/>
      <c r="J513" s="25"/>
      <c r="K513" s="25"/>
      <c r="L513" s="25"/>
      <c r="M513" s="262"/>
      <c r="N513" s="248" t="s">
        <v>125</v>
      </c>
      <c r="O513" s="250">
        <v>0.1</v>
      </c>
      <c r="P513" s="25"/>
      <c r="Q513" s="25"/>
      <c r="R513" s="25"/>
      <c r="S513" s="25"/>
      <c r="T513" s="25"/>
      <c r="U513" s="25"/>
      <c r="V513" s="25"/>
      <c r="W513" s="25"/>
      <c r="X513" s="25"/>
      <c r="Y513" s="25"/>
      <c r="Z513" s="25"/>
      <c r="AA513" s="25"/>
      <c r="AB513" s="28"/>
      <c r="AC513" s="28"/>
      <c r="AD513" s="10"/>
    </row>
    <row r="514" spans="1:30" s="9" customFormat="1" outlineLevel="1" x14ac:dyDescent="0.35">
      <c r="A514" s="86"/>
      <c r="C514" s="74"/>
      <c r="D514" s="74"/>
      <c r="E514" s="74"/>
      <c r="F514" s="72"/>
      <c r="G514" s="25"/>
      <c r="H514" s="25"/>
      <c r="I514" s="25"/>
      <c r="J514" s="25"/>
      <c r="K514" s="25"/>
      <c r="L514" s="25"/>
      <c r="M514" s="262"/>
      <c r="N514" s="248" t="s">
        <v>487</v>
      </c>
      <c r="O514" s="250">
        <v>0</v>
      </c>
      <c r="P514" s="25"/>
      <c r="Q514" s="25"/>
      <c r="R514" s="25"/>
      <c r="S514" s="25"/>
      <c r="T514" s="25"/>
      <c r="U514" s="25"/>
      <c r="V514" s="25"/>
      <c r="W514" s="25"/>
      <c r="X514" s="25"/>
      <c r="Y514" s="25"/>
      <c r="Z514" s="25"/>
      <c r="AA514" s="25"/>
      <c r="AB514" s="28"/>
      <c r="AC514" s="28"/>
      <c r="AD514" s="10"/>
    </row>
    <row r="515" spans="1:30" s="9" customFormat="1" outlineLevel="1" x14ac:dyDescent="0.35">
      <c r="A515" s="86"/>
      <c r="C515" s="74"/>
      <c r="D515" s="74"/>
      <c r="E515" s="74"/>
      <c r="F515" s="72"/>
      <c r="G515" s="25"/>
      <c r="H515" s="25"/>
      <c r="I515" s="25"/>
      <c r="J515" s="25"/>
      <c r="K515" s="25"/>
      <c r="L515" s="25"/>
      <c r="M515" s="262"/>
      <c r="N515" s="248" t="s">
        <v>488</v>
      </c>
      <c r="O515" s="250">
        <v>0</v>
      </c>
      <c r="P515" s="25"/>
      <c r="Q515" s="25"/>
      <c r="R515" s="25"/>
      <c r="S515" s="25"/>
      <c r="T515" s="25"/>
      <c r="U515" s="25"/>
      <c r="V515" s="25"/>
      <c r="W515" s="25"/>
      <c r="X515" s="25"/>
      <c r="Y515" s="25"/>
      <c r="Z515" s="25"/>
      <c r="AA515" s="25"/>
      <c r="AB515" s="28"/>
      <c r="AC515" s="28"/>
      <c r="AD515" s="10"/>
    </row>
    <row r="516" spans="1:30" s="9" customFormat="1" outlineLevel="1" x14ac:dyDescent="0.35">
      <c r="A516" s="86"/>
      <c r="C516" s="74"/>
      <c r="D516" s="74"/>
      <c r="E516" s="74"/>
      <c r="F516" s="72"/>
      <c r="G516" s="25"/>
      <c r="H516" s="25"/>
      <c r="I516" s="25"/>
      <c r="J516" s="25"/>
      <c r="K516" s="25"/>
      <c r="L516" s="25"/>
      <c r="M516" s="262"/>
      <c r="N516" s="248" t="s">
        <v>489</v>
      </c>
      <c r="O516" s="250">
        <v>0</v>
      </c>
      <c r="P516" s="25"/>
      <c r="Q516" s="25"/>
      <c r="R516" s="25"/>
      <c r="S516" s="25"/>
      <c r="T516" s="25"/>
      <c r="U516" s="25"/>
      <c r="V516" s="25"/>
      <c r="W516" s="25"/>
      <c r="X516" s="25"/>
      <c r="Y516" s="25"/>
      <c r="Z516" s="25"/>
      <c r="AA516" s="25"/>
      <c r="AB516" s="28"/>
      <c r="AC516" s="28"/>
      <c r="AD516" s="10"/>
    </row>
    <row r="517" spans="1:30" s="9" customFormat="1" outlineLevel="1" x14ac:dyDescent="0.35">
      <c r="A517" s="86"/>
      <c r="C517" s="74"/>
      <c r="D517" s="74"/>
      <c r="E517" s="74"/>
      <c r="F517" s="72"/>
      <c r="G517" s="25"/>
      <c r="H517" s="25"/>
      <c r="I517" s="25"/>
      <c r="J517" s="25"/>
      <c r="K517" s="25"/>
      <c r="L517" s="25"/>
      <c r="M517" s="262"/>
      <c r="N517" s="28"/>
      <c r="O517" s="28"/>
      <c r="P517" s="25"/>
      <c r="Q517" s="25"/>
      <c r="R517" s="25"/>
      <c r="S517" s="25"/>
      <c r="T517" s="25"/>
      <c r="U517" s="25"/>
      <c r="V517" s="25"/>
      <c r="W517" s="25"/>
      <c r="X517" s="25"/>
      <c r="Y517" s="25"/>
      <c r="Z517" s="25"/>
      <c r="AA517" s="25"/>
      <c r="AB517" s="28"/>
      <c r="AC517" s="28"/>
      <c r="AD517" s="10"/>
    </row>
    <row r="518" spans="1:30" s="9" customFormat="1" outlineLevel="1" x14ac:dyDescent="0.3">
      <c r="A518" s="86"/>
      <c r="C518" s="74"/>
      <c r="D518" s="74"/>
      <c r="E518" s="74"/>
      <c r="F518" s="72"/>
      <c r="G518" s="25"/>
      <c r="H518" s="25"/>
      <c r="I518" s="25"/>
      <c r="J518" s="25"/>
      <c r="K518" s="25"/>
      <c r="L518" s="25"/>
      <c r="M518" s="262"/>
      <c r="N518" s="149" t="s">
        <v>490</v>
      </c>
      <c r="O518" s="153" t="s">
        <v>482</v>
      </c>
      <c r="P518" s="25"/>
      <c r="Q518" s="25"/>
      <c r="R518" s="25"/>
      <c r="S518" s="25"/>
      <c r="T518" s="25"/>
      <c r="U518" s="25"/>
      <c r="V518" s="25"/>
      <c r="W518" s="25"/>
      <c r="X518" s="25"/>
      <c r="Y518" s="25"/>
      <c r="Z518" s="25"/>
      <c r="AA518" s="25"/>
      <c r="AB518" s="28"/>
      <c r="AC518" s="28"/>
      <c r="AD518" s="10"/>
    </row>
    <row r="519" spans="1:30" s="9" customFormat="1" ht="15" customHeight="1" outlineLevel="1" x14ac:dyDescent="0.35">
      <c r="A519" s="86"/>
      <c r="C519" s="74"/>
      <c r="D519" s="74"/>
      <c r="E519" s="74"/>
      <c r="F519" s="72"/>
      <c r="G519" s="25"/>
      <c r="H519" s="25"/>
      <c r="I519" s="25"/>
      <c r="J519" s="25"/>
      <c r="K519" s="25"/>
      <c r="L519" s="25"/>
      <c r="M519" s="262"/>
      <c r="N519" s="147" t="str">
        <f>Lists!B46</f>
        <v>Low</v>
      </c>
      <c r="O519" s="152">
        <v>0.1</v>
      </c>
      <c r="P519" s="304" t="s">
        <v>491</v>
      </c>
      <c r="Q519" s="294"/>
      <c r="R519" s="25"/>
      <c r="S519" s="25"/>
      <c r="T519" s="25"/>
      <c r="U519" s="25"/>
      <c r="V519" s="25"/>
      <c r="W519" s="25"/>
      <c r="X519" s="25"/>
      <c r="Y519" s="25"/>
      <c r="Z519" s="25"/>
      <c r="AA519" s="25"/>
      <c r="AB519" s="28"/>
      <c r="AC519" s="28"/>
      <c r="AD519" s="10"/>
    </row>
    <row r="520" spans="1:30" s="9" customFormat="1" outlineLevel="1" x14ac:dyDescent="0.35">
      <c r="A520" s="86"/>
      <c r="C520" s="74"/>
      <c r="D520" s="74"/>
      <c r="E520" s="74"/>
      <c r="F520" s="72"/>
      <c r="G520" s="25"/>
      <c r="H520" s="25"/>
      <c r="I520" s="25"/>
      <c r="J520" s="25"/>
      <c r="K520" s="25"/>
      <c r="L520" s="25"/>
      <c r="M520" s="262"/>
      <c r="N520" s="147" t="str">
        <f>Lists!B47</f>
        <v>Medium</v>
      </c>
      <c r="O520" s="152">
        <v>0.15</v>
      </c>
      <c r="P520" s="294"/>
      <c r="Q520" s="294"/>
      <c r="R520" s="25"/>
      <c r="S520" s="25"/>
      <c r="T520" s="25"/>
      <c r="U520" s="25"/>
      <c r="V520" s="25"/>
      <c r="W520" s="25"/>
      <c r="X520" s="25"/>
      <c r="Y520" s="25"/>
      <c r="Z520" s="25"/>
      <c r="AA520" s="25"/>
      <c r="AB520" s="28"/>
      <c r="AC520" s="28"/>
      <c r="AD520" s="10"/>
    </row>
    <row r="521" spans="1:30" s="9" customFormat="1" outlineLevel="1" x14ac:dyDescent="0.35">
      <c r="A521" s="86"/>
      <c r="C521" s="74"/>
      <c r="D521" s="74"/>
      <c r="E521" s="74"/>
      <c r="F521" s="72"/>
      <c r="G521" s="25"/>
      <c r="H521" s="25"/>
      <c r="I521" s="25"/>
      <c r="J521" s="25"/>
      <c r="K521" s="25"/>
      <c r="L521" s="25"/>
      <c r="M521" s="262"/>
      <c r="N521" s="147" t="str">
        <f>Lists!B48</f>
        <v>High</v>
      </c>
      <c r="O521" s="152">
        <v>0.2</v>
      </c>
      <c r="P521" s="294"/>
      <c r="Q521" s="294"/>
      <c r="R521" s="25"/>
      <c r="S521" s="25"/>
      <c r="T521" s="25"/>
      <c r="U521" s="25"/>
      <c r="V521" s="25"/>
      <c r="W521" s="25"/>
      <c r="X521" s="25"/>
      <c r="Y521" s="25"/>
      <c r="Z521" s="25"/>
      <c r="AA521" s="25"/>
      <c r="AB521" s="28"/>
      <c r="AC521" s="28"/>
      <c r="AD521" s="10"/>
    </row>
    <row r="522" spans="1:30" s="9" customFormat="1" outlineLevel="1" x14ac:dyDescent="0.35">
      <c r="A522" s="86"/>
      <c r="C522" s="74"/>
      <c r="D522" s="74"/>
      <c r="E522" s="74"/>
      <c r="F522" s="72"/>
      <c r="G522" s="25"/>
      <c r="H522" s="25"/>
      <c r="I522" s="25"/>
      <c r="J522" s="25"/>
      <c r="K522" s="25"/>
      <c r="L522" s="25"/>
      <c r="M522" s="262"/>
      <c r="N522" s="28"/>
      <c r="O522" s="28"/>
      <c r="P522" s="25"/>
      <c r="Q522" s="25"/>
      <c r="R522" s="25"/>
      <c r="S522" s="25"/>
      <c r="T522" s="25"/>
      <c r="U522" s="25"/>
      <c r="V522" s="25"/>
      <c r="W522" s="25"/>
      <c r="X522" s="25"/>
      <c r="Y522" s="25"/>
      <c r="Z522" s="25"/>
      <c r="AA522" s="25"/>
      <c r="AB522" s="28"/>
      <c r="AC522" s="28"/>
      <c r="AD522" s="10"/>
    </row>
    <row r="523" spans="1:30" s="9" customFormat="1" ht="20.25" customHeight="1" outlineLevel="1" x14ac:dyDescent="0.35">
      <c r="A523" s="86"/>
      <c r="C523" s="72"/>
      <c r="D523" s="72"/>
      <c r="E523" s="72"/>
      <c r="F523" s="72"/>
      <c r="G523" s="40"/>
      <c r="H523" s="40"/>
      <c r="I523" s="40"/>
      <c r="J523" s="40"/>
      <c r="K523" s="40"/>
      <c r="L523" s="40"/>
      <c r="M523" s="258"/>
      <c r="N523" s="40"/>
      <c r="O523" s="40"/>
      <c r="P523" s="40"/>
      <c r="Q523" s="40"/>
      <c r="R523" s="40"/>
      <c r="S523" s="40"/>
      <c r="T523" s="40"/>
      <c r="U523" s="40"/>
      <c r="V523" s="40"/>
      <c r="W523" s="40"/>
      <c r="X523" s="40"/>
      <c r="Y523" s="40"/>
      <c r="Z523" s="40"/>
      <c r="AA523" s="40"/>
      <c r="AB523" s="40"/>
      <c r="AC523" s="40"/>
      <c r="AD523" s="10"/>
    </row>
    <row r="524" spans="1:30" x14ac:dyDescent="0.35">
      <c r="F524" s="72"/>
    </row>
    <row r="588" spans="1:30" s="9" customFormat="1" ht="20.25" customHeight="1" x14ac:dyDescent="0.35">
      <c r="A588" s="86"/>
      <c r="C588" s="72"/>
      <c r="D588" s="72"/>
      <c r="E588" s="72"/>
      <c r="F588" s="72"/>
      <c r="G588" s="309" t="s">
        <v>35</v>
      </c>
      <c r="H588" s="294"/>
      <c r="I588" s="165"/>
      <c r="J588" s="40"/>
      <c r="K588" s="40"/>
      <c r="L588" s="36"/>
      <c r="M588" s="265" t="s">
        <v>492</v>
      </c>
      <c r="N588" s="36"/>
      <c r="O588" s="36"/>
      <c r="P588" s="36"/>
      <c r="Q588" s="36"/>
      <c r="R588" s="36"/>
      <c r="S588" s="36"/>
      <c r="T588" s="36"/>
      <c r="U588" s="36"/>
      <c r="V588" s="36"/>
      <c r="W588" s="36"/>
      <c r="X588" s="36"/>
      <c r="Y588" s="36"/>
      <c r="Z588" s="36"/>
      <c r="AA588" s="36"/>
      <c r="AB588" s="36"/>
      <c r="AC588" s="36"/>
      <c r="AD588" s="10"/>
    </row>
    <row r="589" spans="1:30" hidden="1" x14ac:dyDescent="0.35"/>
    <row r="590" spans="1:30" s="14" customFormat="1" ht="18.5" hidden="1" customHeight="1" collapsed="1" x14ac:dyDescent="0.35">
      <c r="A590" s="86" t="s">
        <v>49</v>
      </c>
      <c r="B590" s="18"/>
      <c r="C590" s="75"/>
      <c r="D590" s="75"/>
      <c r="E590" s="75"/>
      <c r="F590" s="75"/>
      <c r="G590" s="52"/>
      <c r="H590" s="52"/>
      <c r="I590" s="52"/>
      <c r="J590" s="52"/>
      <c r="K590" s="52"/>
      <c r="L590" s="52" t="s">
        <v>58</v>
      </c>
      <c r="M590" s="261" t="s">
        <v>493</v>
      </c>
      <c r="N590" s="53"/>
      <c r="O590" s="54"/>
      <c r="P590" s="55"/>
      <c r="Q590" s="55"/>
      <c r="R590" s="55"/>
      <c r="S590" s="305">
        <f>CEILING(SUMIFS(T591:T596, J591:J596, "&lt;&gt;Yes", A591:A596,"T1"),1)</f>
        <v>0</v>
      </c>
      <c r="T590" s="292"/>
      <c r="U590" s="55"/>
      <c r="V590" s="55"/>
      <c r="W590" s="55"/>
      <c r="X590" s="55"/>
      <c r="Y590" s="55"/>
      <c r="Z590" s="55"/>
      <c r="AA590" s="55"/>
      <c r="AB590" s="55"/>
      <c r="AC590" s="55"/>
      <c r="AD590" s="23" t="str">
        <f>IF(M590="", "Section name cannot be empty.", "")</f>
        <v/>
      </c>
    </row>
    <row r="591" spans="1:30" s="9" customFormat="1" ht="1.5" hidden="1" customHeight="1" outlineLevel="1" x14ac:dyDescent="0.35">
      <c r="A591" s="86" t="s">
        <v>54</v>
      </c>
      <c r="B591" s="15"/>
      <c r="C591" s="72"/>
      <c r="D591" s="72"/>
      <c r="E591" s="72"/>
      <c r="F591" s="72"/>
      <c r="G591" s="25"/>
      <c r="H591" s="25"/>
      <c r="I591" s="25"/>
      <c r="J591" s="25"/>
      <c r="K591" s="25"/>
      <c r="L591" s="26">
        <v>0</v>
      </c>
      <c r="M591" s="262"/>
      <c r="N591" s="25"/>
      <c r="O591" s="25"/>
      <c r="P591" s="25"/>
      <c r="Q591" s="25"/>
      <c r="R591" s="25"/>
      <c r="S591" s="25"/>
      <c r="T591" s="27"/>
      <c r="U591" s="25"/>
      <c r="V591" s="25"/>
      <c r="W591" s="25"/>
      <c r="X591" s="27"/>
      <c r="Y591" s="25"/>
      <c r="Z591" s="25"/>
      <c r="AA591" s="25"/>
      <c r="AB591" s="28"/>
      <c r="AC591" s="28"/>
      <c r="AD591" s="10"/>
    </row>
    <row r="592" spans="1:30" s="14" customFormat="1" ht="15.5" hidden="1" customHeight="1" outlineLevel="1" x14ac:dyDescent="0.35">
      <c r="A592" s="86" t="s">
        <v>55</v>
      </c>
      <c r="B592" s="18"/>
      <c r="C592" s="77"/>
      <c r="D592" s="77"/>
      <c r="E592" s="77"/>
      <c r="F592" s="76"/>
      <c r="G592" s="29"/>
      <c r="H592" s="29"/>
      <c r="I592" s="29"/>
      <c r="J592" s="29"/>
      <c r="K592" s="29"/>
      <c r="L592" s="17">
        <f ca="1">LOOKUP(1000,INDIRECT("L1:"&amp;CELL("address",INDIRECT("R[-1]C",FALSE))))+1</f>
        <v>1</v>
      </c>
      <c r="M592" s="287" t="s">
        <v>494</v>
      </c>
      <c r="N592" s="288"/>
      <c r="O592" s="5"/>
      <c r="P592" s="30"/>
      <c r="Q592" s="30"/>
      <c r="R592" s="30"/>
      <c r="S592" s="30"/>
      <c r="T592" s="155">
        <f>IF($S$6="Exclude", SUMIFS(S593:S595, J593:J595, "&lt;&gt;Yes", G593:G595, "&lt;&gt;Yes"), SUMIFS(S593:S595, J593:J595, "&lt;&gt;Yes"))</f>
        <v>0</v>
      </c>
      <c r="U592" s="30"/>
      <c r="V592" s="30"/>
      <c r="W592" s="30"/>
      <c r="X592" s="31"/>
      <c r="Y592" s="32"/>
      <c r="Z592" s="32"/>
      <c r="AA592" s="32"/>
      <c r="AB592" s="219" t="s">
        <v>167</v>
      </c>
      <c r="AC592" s="33"/>
      <c r="AD592" s="23" t="str">
        <f>IF(M592="", "Error: Task name cannot be empty.", "")</f>
        <v/>
      </c>
    </row>
    <row r="593" spans="1:30" s="12" customFormat="1" ht="1.5" hidden="1" customHeight="1" outlineLevel="2" x14ac:dyDescent="0.35">
      <c r="A593" s="86" t="s">
        <v>57</v>
      </c>
      <c r="B593" s="18"/>
      <c r="C593" s="77"/>
      <c r="D593" s="77"/>
      <c r="E593" s="77"/>
      <c r="F593" s="76"/>
      <c r="G593" s="29"/>
      <c r="H593" s="29"/>
      <c r="I593" s="29"/>
      <c r="J593" s="29"/>
      <c r="K593" s="29"/>
      <c r="L593" s="163">
        <f ca="1">L592</f>
        <v>1</v>
      </c>
      <c r="M593" s="164" t="s">
        <v>58</v>
      </c>
      <c r="N593" s="161"/>
      <c r="O593" s="162"/>
      <c r="P593" s="30"/>
      <c r="Q593" s="30"/>
      <c r="R593" s="30"/>
      <c r="S593" s="30"/>
      <c r="T593" s="155"/>
      <c r="U593" s="30"/>
      <c r="V593" s="30"/>
      <c r="W593" s="30"/>
      <c r="X593" s="31"/>
      <c r="Y593" s="32"/>
      <c r="Z593" s="32"/>
      <c r="AA593" s="32"/>
      <c r="AB593" s="33"/>
      <c r="AC593" s="33"/>
      <c r="AD593" s="23"/>
    </row>
    <row r="594" spans="1:30" ht="58" hidden="1" customHeight="1" outlineLevel="2" x14ac:dyDescent="0.35">
      <c r="A594" s="86" t="s">
        <v>52</v>
      </c>
      <c r="B594" s="18"/>
      <c r="C594" s="78"/>
      <c r="D594" s="78"/>
      <c r="E594" s="78"/>
      <c r="F594" s="79"/>
      <c r="G594" s="19" t="s">
        <v>59</v>
      </c>
      <c r="H594" s="19" t="s">
        <v>59</v>
      </c>
      <c r="I594" s="20" t="s">
        <v>59</v>
      </c>
      <c r="J594" s="19" t="s">
        <v>59</v>
      </c>
      <c r="K594" s="35"/>
      <c r="L594" s="19"/>
      <c r="M594" s="263" t="str">
        <f ca="1">IFERROR(OFFSET(M594,-1,,1,1)+0.1,OFFSET(M594,-1,-1,1,1)&amp;".1")</f>
        <v>1.1</v>
      </c>
      <c r="N594" s="20" t="s">
        <v>495</v>
      </c>
      <c r="O594" s="20"/>
      <c r="P594" s="20"/>
      <c r="Q594" s="134"/>
      <c r="R594" s="127"/>
      <c r="S594" s="157">
        <f>CEILING((IF(J594="Yes", 0, IF(H594="-",AA594,AA594+AA594*VLOOKUP(H594,BUFFERS_BY_TYPE,2,FALSE)))) +
   (IF(J594="Yes", 0, IF(H594="-",AA594,AA594+AA594*VLOOKUP(H594,BUFFERS_BY_TYPE,2,FALSE))))*VLOOKUP($S$5, SALES_CALL_SCALE_ARRAY, 2,FALSE),0.25)</f>
        <v>0</v>
      </c>
      <c r="T594" s="158"/>
      <c r="U594" s="21">
        <v>0</v>
      </c>
      <c r="V594" s="21">
        <v>1</v>
      </c>
      <c r="W594" s="21">
        <v>0</v>
      </c>
      <c r="X594" s="156"/>
      <c r="Y594" s="157">
        <f>CEILING((IF(P594=AS_DEV_EFFORT, DEV_EFFORT*Q594%,
                           IF(P594=AS_DURATION_EFFORT, (MANUAL_DURATION*5)*Q594%,
                                    (IF(Q594&lt;=1,X594,
                                          IF(SUM(U594:W594)=0,(Q594*X594),
                                               (((Q594*U594)*(X594+(X594*EXTRA_FOR_H)))+
                                               ((Q594*V594)*X594)+
                                               ((Q594*W594)*(X594-(X594*LESS_FOR_L)))
                                    )*IF(R594=0,1,R594))))))+Z594), 0.25)</f>
        <v>0</v>
      </c>
      <c r="Z594" s="22"/>
      <c r="AA594" s="157">
        <f>Y594+Y594*VLOOKUP(I594,EXTRAS_ARRAY,2,FALSE)</f>
        <v>0</v>
      </c>
      <c r="AB594" s="20" t="s">
        <v>496</v>
      </c>
      <c r="AC594" s="34"/>
      <c r="AD594" s="23" t="str">
        <f>IF(J594&lt;&gt;"Yes",
IF(S594&lt;=0,"Error: Effort value is not defined or is invalid.",
IF(AND(SUM(U594:W594)&gt;0,SUM(U594:W594)&lt;&gt;1),"Error: Complexity % distribution should sum to 100%.",
IF(AND(P594=AS_DEV_EFFORT,X594&lt;&gt;0),"Error: PDs should not be defined when defining as dev effort %.",
IF(AND(P594=AS_DURATION_EFFORT,X594&lt;&gt;0),"Error: PDs should not be defined when defining as duration effort %.","")))))</f>
        <v>Error: Effort value is not defined or is invalid.</v>
      </c>
    </row>
    <row r="595" spans="1:30" s="9" customFormat="1" ht="7.5" hidden="1" customHeight="1" outlineLevel="2" x14ac:dyDescent="0.35">
      <c r="A595" s="86" t="s">
        <v>70</v>
      </c>
      <c r="B595" s="15"/>
      <c r="C595" s="72"/>
      <c r="D595" s="72"/>
      <c r="E595" s="72"/>
      <c r="F595" s="72"/>
      <c r="M595" s="252"/>
      <c r="T595" s="15"/>
      <c r="X595" s="15"/>
      <c r="AB595" s="10"/>
      <c r="AC595" s="10"/>
      <c r="AD595" s="10"/>
    </row>
    <row r="596" spans="1:30" s="9" customFormat="1" ht="1.5" hidden="1" customHeight="1" outlineLevel="1" x14ac:dyDescent="0.35">
      <c r="A596" s="86" t="s">
        <v>118</v>
      </c>
      <c r="C596" s="72"/>
      <c r="D596" s="72"/>
      <c r="E596" s="72"/>
      <c r="F596" s="72"/>
      <c r="G596" s="25"/>
      <c r="H596" s="25"/>
      <c r="I596" s="25"/>
      <c r="J596" s="25"/>
      <c r="K596" s="25"/>
      <c r="L596" s="56"/>
      <c r="M596" s="264"/>
      <c r="N596" s="57"/>
      <c r="O596" s="57"/>
      <c r="P596" s="56"/>
      <c r="Q596" s="56"/>
      <c r="R596" s="56"/>
      <c r="S596" s="56"/>
      <c r="T596" s="56"/>
      <c r="U596" s="56"/>
      <c r="V596" s="56"/>
      <c r="W596" s="56"/>
      <c r="X596" s="56"/>
      <c r="Y596" s="56"/>
      <c r="Z596" s="56"/>
      <c r="AA596" s="56"/>
      <c r="AB596" s="57"/>
      <c r="AC596" s="57"/>
      <c r="AD596" s="10"/>
    </row>
    <row r="597" spans="1:30" hidden="1" collapsed="1" x14ac:dyDescent="0.35"/>
    <row r="598" spans="1:30" s="14" customFormat="1" ht="15.5" hidden="1" customHeight="1" outlineLevel="1" x14ac:dyDescent="0.35">
      <c r="A598" s="86" t="s">
        <v>161</v>
      </c>
      <c r="B598" s="18"/>
      <c r="C598" s="77"/>
      <c r="D598" s="77"/>
      <c r="E598" s="77"/>
      <c r="F598" s="76"/>
      <c r="G598" s="170"/>
      <c r="H598" s="170"/>
      <c r="I598" s="170"/>
      <c r="J598" s="170"/>
      <c r="K598" s="170"/>
      <c r="L598" s="85" t="s">
        <v>23</v>
      </c>
      <c r="M598" s="296" t="s">
        <v>497</v>
      </c>
      <c r="N598" s="288"/>
      <c r="O598" s="80"/>
      <c r="P598" s="81"/>
      <c r="Q598" s="81"/>
      <c r="R598" s="81"/>
      <c r="S598" s="291">
        <f>SUMGROUP(ROW(), "T")</f>
        <v>0</v>
      </c>
      <c r="T598" s="292"/>
      <c r="U598" s="295"/>
      <c r="V598" s="288"/>
      <c r="W598" s="288"/>
      <c r="X598" s="82"/>
      <c r="Y598" s="83"/>
      <c r="Z598" s="83"/>
      <c r="AA598" s="83"/>
      <c r="AB598" s="221"/>
      <c r="AC598" s="84"/>
      <c r="AD598" s="23" t="str">
        <f>IF(M598="", "Error: Module name cannot be empty.", "")</f>
        <v/>
      </c>
    </row>
    <row r="599" spans="1:30" hidden="1" x14ac:dyDescent="0.35"/>
    <row r="600" spans="1:30" s="9" customFormat="1" ht="20.25" customHeight="1" x14ac:dyDescent="0.35">
      <c r="A600" s="86"/>
      <c r="C600" s="72"/>
      <c r="D600" s="72"/>
      <c r="E600" s="72"/>
      <c r="F600" s="72"/>
      <c r="G600" s="40"/>
      <c r="H600" s="40"/>
      <c r="I600" s="40"/>
      <c r="J600" s="40"/>
      <c r="K600" s="40"/>
      <c r="L600" s="40"/>
      <c r="M600" s="258"/>
      <c r="N600" s="40"/>
      <c r="O600" s="40"/>
      <c r="P600" s="40"/>
      <c r="Q600" s="40"/>
      <c r="R600" s="40"/>
      <c r="S600" s="40"/>
      <c r="T600" s="40"/>
      <c r="U600" s="40"/>
      <c r="V600" s="40"/>
      <c r="W600" s="40"/>
      <c r="X600" s="40"/>
      <c r="Y600" s="40"/>
      <c r="Z600" s="40"/>
      <c r="AA600" s="40"/>
      <c r="AB600" s="40"/>
      <c r="AC600" s="40"/>
      <c r="AD600" s="10"/>
    </row>
  </sheetData>
  <sheetProtection algorithmName="SHA-512" hashValue="4zUPHRc1bw9/iq0QoV3WxH9+MA46okUd0m2wYb0yovQYyEdYjgdi24QiB/Z86kQ/M8w8ey2qWkaOBfkV9wHP5g==" saltValue="UA1O1UbmgBSDOJEXWszmmw==" spinCount="100000" sheet="1" objects="1" scenarios="1"/>
  <mergeCells count="155">
    <mergeCell ref="AB5:AB6"/>
    <mergeCell ref="U266:W266"/>
    <mergeCell ref="M96:N96"/>
    <mergeCell ref="U166:W166"/>
    <mergeCell ref="G3:J3"/>
    <mergeCell ref="P10:R10"/>
    <mergeCell ref="M125:N125"/>
    <mergeCell ref="M14:N14"/>
    <mergeCell ref="U216:W216"/>
    <mergeCell ref="M312:N312"/>
    <mergeCell ref="M112:N112"/>
    <mergeCell ref="C11:F11"/>
    <mergeCell ref="M121:N121"/>
    <mergeCell ref="Y455:AA459"/>
    <mergeCell ref="S266:T266"/>
    <mergeCell ref="M200:N200"/>
    <mergeCell ref="C2:F9"/>
    <mergeCell ref="S355:T355"/>
    <mergeCell ref="G364:H364"/>
    <mergeCell ref="U241:W241"/>
    <mergeCell ref="N480:N482"/>
    <mergeCell ref="M162:N162"/>
    <mergeCell ref="M171:N171"/>
    <mergeCell ref="J5:K5"/>
    <mergeCell ref="G468:H468"/>
    <mergeCell ref="S332:T332"/>
    <mergeCell ref="W448:X448"/>
    <mergeCell ref="Q451:V451"/>
    <mergeCell ref="U91:W91"/>
    <mergeCell ref="M250:N250"/>
    <mergeCell ref="S11:T11"/>
    <mergeCell ref="P443:P444"/>
    <mergeCell ref="M20:N20"/>
    <mergeCell ref="Q453:V453"/>
    <mergeCell ref="S287:T287"/>
    <mergeCell ref="M212:N212"/>
    <mergeCell ref="M108:N108"/>
    <mergeCell ref="S598:T598"/>
    <mergeCell ref="M339:N339"/>
    <mergeCell ref="S303:T303"/>
    <mergeCell ref="W449:X449"/>
    <mergeCell ref="T462:U462"/>
    <mergeCell ref="M237:N237"/>
    <mergeCell ref="M246:N246"/>
    <mergeCell ref="M233:N233"/>
    <mergeCell ref="O443:O444"/>
    <mergeCell ref="S590:T590"/>
    <mergeCell ref="M297:N297"/>
    <mergeCell ref="M288:N288"/>
    <mergeCell ref="W450:X450"/>
    <mergeCell ref="P511:Q512"/>
    <mergeCell ref="M271:N271"/>
    <mergeCell ref="M598:N598"/>
    <mergeCell ref="M254:N254"/>
    <mergeCell ref="M306:N306"/>
    <mergeCell ref="M357:N357"/>
    <mergeCell ref="G440:H440"/>
    <mergeCell ref="Q442:V442"/>
    <mergeCell ref="M319:N319"/>
    <mergeCell ref="M334:N334"/>
    <mergeCell ref="W447:X447"/>
    <mergeCell ref="G9:J9"/>
    <mergeCell ref="S166:T166"/>
    <mergeCell ref="M287:N287"/>
    <mergeCell ref="M262:N262"/>
    <mergeCell ref="M208:N208"/>
    <mergeCell ref="M104:N104"/>
    <mergeCell ref="M217:N217"/>
    <mergeCell ref="M26:N26"/>
    <mergeCell ref="M225:N225"/>
    <mergeCell ref="S55:T55"/>
    <mergeCell ref="M84:N84"/>
    <mergeCell ref="M158:N158"/>
    <mergeCell ref="S116:T116"/>
    <mergeCell ref="M77:N77"/>
    <mergeCell ref="M133:N133"/>
    <mergeCell ref="M204:N204"/>
    <mergeCell ref="M61:N61"/>
    <mergeCell ref="S216:T216"/>
    <mergeCell ref="M175:N175"/>
    <mergeCell ref="U598:W598"/>
    <mergeCell ref="S12:T12"/>
    <mergeCell ref="U141:W141"/>
    <mergeCell ref="M229:N229"/>
    <mergeCell ref="M142:N142"/>
    <mergeCell ref="M216:N216"/>
    <mergeCell ref="M129:N129"/>
    <mergeCell ref="U116:W116"/>
    <mergeCell ref="C12:E12"/>
    <mergeCell ref="G588:H588"/>
    <mergeCell ref="M191:N191"/>
    <mergeCell ref="M137:N137"/>
    <mergeCell ref="M296:N296"/>
    <mergeCell ref="M183:N183"/>
    <mergeCell ref="U191:W191"/>
    <mergeCell ref="M305:N305"/>
    <mergeCell ref="M192:N192"/>
    <mergeCell ref="M283:N283"/>
    <mergeCell ref="M292:N292"/>
    <mergeCell ref="W445:X445"/>
    <mergeCell ref="W453:X454"/>
    <mergeCell ref="M41:N41"/>
    <mergeCell ref="M154:N154"/>
    <mergeCell ref="M592:N592"/>
    <mergeCell ref="P519:Q521"/>
    <mergeCell ref="M150:N150"/>
    <mergeCell ref="M221:N221"/>
    <mergeCell ref="S296:T296"/>
    <mergeCell ref="M343:N343"/>
    <mergeCell ref="S75:T75"/>
    <mergeCell ref="S311:T311"/>
    <mergeCell ref="T461:U461"/>
    <mergeCell ref="M92:N92"/>
    <mergeCell ref="U296:W296"/>
    <mergeCell ref="M279:N279"/>
    <mergeCell ref="W443:X444"/>
    <mergeCell ref="M91:N91"/>
    <mergeCell ref="M146:N146"/>
    <mergeCell ref="M324:N324"/>
    <mergeCell ref="S91:T91"/>
    <mergeCell ref="U287:W287"/>
    <mergeCell ref="M117:N117"/>
    <mergeCell ref="P506:R509"/>
    <mergeCell ref="U10:W10"/>
    <mergeCell ref="M242:N242"/>
    <mergeCell ref="M33:N33"/>
    <mergeCell ref="M116:N116"/>
    <mergeCell ref="C10:F10"/>
    <mergeCell ref="S141:T141"/>
    <mergeCell ref="M179:N179"/>
    <mergeCell ref="M100:N100"/>
    <mergeCell ref="M166:N166"/>
    <mergeCell ref="M47:N47"/>
    <mergeCell ref="M141:N141"/>
    <mergeCell ref="M67:N67"/>
    <mergeCell ref="M57:N57"/>
    <mergeCell ref="M167:N167"/>
    <mergeCell ref="M347:N347"/>
    <mergeCell ref="W451:X451"/>
    <mergeCell ref="S305:T305"/>
    <mergeCell ref="M366:T367"/>
    <mergeCell ref="S241:T241"/>
    <mergeCell ref="U305:W305"/>
    <mergeCell ref="M266:N266"/>
    <mergeCell ref="M241:N241"/>
    <mergeCell ref="M275:N275"/>
    <mergeCell ref="M311:N311"/>
    <mergeCell ref="S362:T362"/>
    <mergeCell ref="S191:T191"/>
    <mergeCell ref="M187:N187"/>
    <mergeCell ref="M258:N258"/>
    <mergeCell ref="M196:N196"/>
    <mergeCell ref="M267:N267"/>
    <mergeCell ref="W446:X446"/>
    <mergeCell ref="U311:W311"/>
  </mergeCells>
  <conditionalFormatting sqref="B445">
    <cfRule type="cellIs" dxfId="1348" priority="10892" operator="equal">
      <formula>"."</formula>
    </cfRule>
  </conditionalFormatting>
  <conditionalFormatting sqref="C442:E442 C461:E464">
    <cfRule type="expression" dxfId="1347" priority="10772">
      <formula>$H442&lt;&gt;""</formula>
    </cfRule>
  </conditionalFormatting>
  <conditionalFormatting sqref="C443:E451">
    <cfRule type="expression" dxfId="1346" priority="10770">
      <formula>$H443&lt;&gt;""</formula>
    </cfRule>
  </conditionalFormatting>
  <conditionalFormatting sqref="B443">
    <cfRule type="cellIs" dxfId="1345" priority="10766" operator="equal">
      <formula>"."</formula>
    </cfRule>
  </conditionalFormatting>
  <conditionalFormatting sqref="B594">
    <cfRule type="expression" dxfId="1344" priority="10661">
      <formula>AD594&lt;&gt;""</formula>
    </cfRule>
  </conditionalFormatting>
  <conditionalFormatting sqref="Z594">
    <cfRule type="cellIs" dxfId="1343" priority="10659" operator="greaterThan">
      <formula>0</formula>
    </cfRule>
    <cfRule type="cellIs" dxfId="1342" priority="10660" operator="lessThan">
      <formula>0</formula>
    </cfRule>
  </conditionalFormatting>
  <conditionalFormatting sqref="S594">
    <cfRule type="cellIs" dxfId="1341" priority="10658" operator="lessThan">
      <formula>0</formula>
    </cfRule>
  </conditionalFormatting>
  <conditionalFormatting sqref="T592:T593">
    <cfRule type="expression" dxfId="1340" priority="10662">
      <formula>#REF!="Yes"</formula>
    </cfRule>
  </conditionalFormatting>
  <conditionalFormatting sqref="P594">
    <cfRule type="cellIs" dxfId="1339" priority="10655" operator="equal">
      <formula>AS_DURATION_EFFORT</formula>
    </cfRule>
    <cfRule type="cellIs" dxfId="1338" priority="10656" operator="equal">
      <formula>AS_DEV_EFFORT</formula>
    </cfRule>
  </conditionalFormatting>
  <conditionalFormatting sqref="S598">
    <cfRule type="expression" dxfId="1337" priority="10471">
      <formula>#REF!="Yes"</formula>
    </cfRule>
  </conditionalFormatting>
  <conditionalFormatting sqref="B590">
    <cfRule type="expression" dxfId="1336" priority="10463">
      <formula>AD590&lt;&gt;""</formula>
    </cfRule>
  </conditionalFormatting>
  <conditionalFormatting sqref="B592:B593">
    <cfRule type="expression" dxfId="1335" priority="10462">
      <formula>AD592&lt;&gt;""</formula>
    </cfRule>
  </conditionalFormatting>
  <conditionalFormatting sqref="B598">
    <cfRule type="expression" dxfId="1334" priority="10461">
      <formula>AD598&lt;&gt;""</formula>
    </cfRule>
  </conditionalFormatting>
  <conditionalFormatting sqref="L16:AC17 L23:AC24 L28:M28 L35:M35 L43:M43 L49:AC52 L59:AC59 L63:AC65 L69:AC72 L79:AC82 L86:AC89 L94:AC94 L98:AC98 L102:AC102 L106:AC106 L110:AC110 L114:AC114 L119:AC119 L123:AC123 L127:AC127 L131:AC131 L135:AC135 L139:AC139 L144:AC144 L148:AC148 L152:AC152 L156:AC156 L160:AC160 L164:AC164 L169:AC169 L173:AC173 L177:AC177 L181:AC181 L185:AC185 L189:AC189 L194:AC194 L198:AC198 L202:AC202 L206:AC206 L210:AC210 L214:AC214 L219:AC219 L223:AC223 L227:AC227 L231:AC231 L235:AC235 L239:AC239 L244:AC244 L248:AC248 L252:AC252 L256:AC256 L260:AC260 L264:AC264 L269:AC269 L273:AC273 L277:AC277 L281:AC281 L285:AC285 L290:AC290 L294:AC294 L299:AC300 L308:AC309 L314:AC317 L321:AC322 L326:AC329 L336:AC337 L341:AC341 L345:AC345 L349:AC352 L359:AC359 O28:AC28 O35:AC35 P43:AC43 L594:AC594">
    <cfRule type="expression" dxfId="1333" priority="12750">
      <formula>AND($G16="Yes", $S$6="Exclude")</formula>
    </cfRule>
    <cfRule type="expression" dxfId="1332" priority="12751">
      <formula>$J16="Yes"</formula>
    </cfRule>
  </conditionalFormatting>
  <conditionalFormatting sqref="T5">
    <cfRule type="expression" dxfId="1331" priority="10044">
      <formula>OR($S$5="Reduce by:", $S$5="Increase by:")</formula>
    </cfRule>
  </conditionalFormatting>
  <conditionalFormatting sqref="F594">
    <cfRule type="expression" dxfId="1330" priority="7294">
      <formula>$K594&lt;&gt;""</formula>
    </cfRule>
  </conditionalFormatting>
  <conditionalFormatting sqref="C594">
    <cfRule type="expression" dxfId="1329" priority="7250">
      <formula>$G594&lt;&gt;"-"</formula>
    </cfRule>
  </conditionalFormatting>
  <conditionalFormatting sqref="D594">
    <cfRule type="expression" dxfId="1328" priority="7248">
      <formula>$H594&lt;&gt;"-"</formula>
    </cfRule>
  </conditionalFormatting>
  <conditionalFormatting sqref="E594">
    <cfRule type="expression" dxfId="1327" priority="7247">
      <formula>$I594&lt;&gt;"-"</formula>
    </cfRule>
  </conditionalFormatting>
  <conditionalFormatting sqref="B446">
    <cfRule type="cellIs" dxfId="1326" priority="3691" operator="equal">
      <formula>"."</formula>
    </cfRule>
  </conditionalFormatting>
  <conditionalFormatting sqref="B447">
    <cfRule type="cellIs" dxfId="1325" priority="3690" operator="equal">
      <formula>"."</formula>
    </cfRule>
  </conditionalFormatting>
  <conditionalFormatting sqref="B448">
    <cfRule type="cellIs" dxfId="1324" priority="3689" operator="equal">
      <formula>"."</formula>
    </cfRule>
  </conditionalFormatting>
  <conditionalFormatting sqref="B449">
    <cfRule type="cellIs" dxfId="1323" priority="3688" operator="equal">
      <formula>"."</formula>
    </cfRule>
  </conditionalFormatting>
  <conditionalFormatting sqref="B450">
    <cfRule type="cellIs" dxfId="1322" priority="3687" operator="equal">
      <formula>"."</formula>
    </cfRule>
  </conditionalFormatting>
  <conditionalFormatting sqref="B16">
    <cfRule type="expression" dxfId="1321" priority="3683">
      <formula>AD16&lt;&gt;""</formula>
    </cfRule>
  </conditionalFormatting>
  <conditionalFormatting sqref="Z16">
    <cfRule type="cellIs" dxfId="1320" priority="3681" operator="greaterThan">
      <formula>0</formula>
    </cfRule>
    <cfRule type="cellIs" dxfId="1319" priority="3682" operator="lessThan">
      <formula>0</formula>
    </cfRule>
  </conditionalFormatting>
  <conditionalFormatting sqref="S16">
    <cfRule type="cellIs" dxfId="1318" priority="3680" operator="lessThan">
      <formula>0</formula>
    </cfRule>
  </conditionalFormatting>
  <conditionalFormatting sqref="T14:T15">
    <cfRule type="expression" dxfId="1317" priority="3684">
      <formula>#REF!="Yes"</formula>
    </cfRule>
  </conditionalFormatting>
  <conditionalFormatting sqref="P16">
    <cfRule type="cellIs" dxfId="1316" priority="3678" operator="equal">
      <formula>AS_DURATION_EFFORT</formula>
    </cfRule>
    <cfRule type="cellIs" dxfId="1315" priority="3679" operator="equal">
      <formula>AS_DEV_EFFORT</formula>
    </cfRule>
  </conditionalFormatting>
  <conditionalFormatting sqref="B14:B15">
    <cfRule type="expression" dxfId="1314" priority="3677">
      <formula>AD14&lt;&gt;""</formula>
    </cfRule>
  </conditionalFormatting>
  <conditionalFormatting sqref="F16">
    <cfRule type="expression" dxfId="1313" priority="3676">
      <formula>$K16&lt;&gt;""</formula>
    </cfRule>
  </conditionalFormatting>
  <conditionalFormatting sqref="C16">
    <cfRule type="expression" dxfId="1312" priority="3675">
      <formula>$G16&lt;&gt;"-"</formula>
    </cfRule>
  </conditionalFormatting>
  <conditionalFormatting sqref="D16">
    <cfRule type="expression" dxfId="1311" priority="3674">
      <formula>$H16&lt;&gt;"-"</formula>
    </cfRule>
  </conditionalFormatting>
  <conditionalFormatting sqref="E16">
    <cfRule type="expression" dxfId="1310" priority="3673">
      <formula>$I16&lt;&gt;"-"</formula>
    </cfRule>
  </conditionalFormatting>
  <conditionalFormatting sqref="B17">
    <cfRule type="expression" dxfId="1309" priority="3670">
      <formula>AD17&lt;&gt;""</formula>
    </cfRule>
  </conditionalFormatting>
  <conditionalFormatting sqref="Z17">
    <cfRule type="cellIs" dxfId="1308" priority="3668" operator="greaterThan">
      <formula>0</formula>
    </cfRule>
    <cfRule type="cellIs" dxfId="1307" priority="3669" operator="lessThan">
      <formula>0</formula>
    </cfRule>
  </conditionalFormatting>
  <conditionalFormatting sqref="S17">
    <cfRule type="cellIs" dxfId="1306" priority="3667" operator="lessThan">
      <formula>0</formula>
    </cfRule>
  </conditionalFormatting>
  <conditionalFormatting sqref="P17">
    <cfRule type="cellIs" dxfId="1305" priority="3665" operator="equal">
      <formula>AS_DURATION_EFFORT</formula>
    </cfRule>
    <cfRule type="cellIs" dxfId="1304" priority="3666" operator="equal">
      <formula>AS_DEV_EFFORT</formula>
    </cfRule>
  </conditionalFormatting>
  <conditionalFormatting sqref="F17">
    <cfRule type="expression" dxfId="1303" priority="3664">
      <formula>$K17&lt;&gt;""</formula>
    </cfRule>
  </conditionalFormatting>
  <conditionalFormatting sqref="C17">
    <cfRule type="expression" dxfId="1302" priority="3663">
      <formula>$G17&lt;&gt;"-"</formula>
    </cfRule>
  </conditionalFormatting>
  <conditionalFormatting sqref="D17">
    <cfRule type="expression" dxfId="1301" priority="3662">
      <formula>$H17&lt;&gt;"-"</formula>
    </cfRule>
  </conditionalFormatting>
  <conditionalFormatting sqref="E17">
    <cfRule type="expression" dxfId="1300" priority="3661">
      <formula>$I17&lt;&gt;"-"</formula>
    </cfRule>
  </conditionalFormatting>
  <conditionalFormatting sqref="B79">
    <cfRule type="expression" dxfId="1299" priority="3587">
      <formula>AD79&lt;&gt;""</formula>
    </cfRule>
  </conditionalFormatting>
  <conditionalFormatting sqref="Z79">
    <cfRule type="cellIs" dxfId="1298" priority="3585" operator="greaterThan">
      <formula>0</formula>
    </cfRule>
    <cfRule type="cellIs" dxfId="1297" priority="3586" operator="lessThan">
      <formula>0</formula>
    </cfRule>
  </conditionalFormatting>
  <conditionalFormatting sqref="S79">
    <cfRule type="cellIs" dxfId="1296" priority="3584" operator="lessThan">
      <formula>0</formula>
    </cfRule>
  </conditionalFormatting>
  <conditionalFormatting sqref="T77:T78">
    <cfRule type="expression" dxfId="1295" priority="3588">
      <formula>#REF!="Yes"</formula>
    </cfRule>
  </conditionalFormatting>
  <conditionalFormatting sqref="P79">
    <cfRule type="cellIs" dxfId="1294" priority="3582" operator="equal">
      <formula>AS_DURATION_EFFORT</formula>
    </cfRule>
    <cfRule type="cellIs" dxfId="1293" priority="3583" operator="equal">
      <formula>AS_DEV_EFFORT</formula>
    </cfRule>
  </conditionalFormatting>
  <conditionalFormatting sqref="B77:B78">
    <cfRule type="expression" dxfId="1292" priority="3581">
      <formula>AD77&lt;&gt;""</formula>
    </cfRule>
  </conditionalFormatting>
  <conditionalFormatting sqref="F79">
    <cfRule type="expression" dxfId="1291" priority="3580">
      <formula>$K79&lt;&gt;""</formula>
    </cfRule>
  </conditionalFormatting>
  <conditionalFormatting sqref="C79">
    <cfRule type="expression" dxfId="1290" priority="3579">
      <formula>$G79&lt;&gt;"-"</formula>
    </cfRule>
  </conditionalFormatting>
  <conditionalFormatting sqref="D79">
    <cfRule type="expression" dxfId="1289" priority="3578">
      <formula>$H79&lt;&gt;"-"</formula>
    </cfRule>
  </conditionalFormatting>
  <conditionalFormatting sqref="E79">
    <cfRule type="expression" dxfId="1288" priority="3577">
      <formula>$I79&lt;&gt;"-"</formula>
    </cfRule>
  </conditionalFormatting>
  <conditionalFormatting sqref="B94">
    <cfRule type="expression" dxfId="1287" priority="3559">
      <formula>AD94&lt;&gt;""</formula>
    </cfRule>
  </conditionalFormatting>
  <conditionalFormatting sqref="Z94">
    <cfRule type="cellIs" dxfId="1286" priority="3557" operator="greaterThan">
      <formula>0</formula>
    </cfRule>
    <cfRule type="cellIs" dxfId="1285" priority="3558" operator="lessThan">
      <formula>0</formula>
    </cfRule>
  </conditionalFormatting>
  <conditionalFormatting sqref="S94">
    <cfRule type="cellIs" dxfId="1284" priority="3556" operator="lessThan">
      <formula>0</formula>
    </cfRule>
  </conditionalFormatting>
  <conditionalFormatting sqref="T92:T93">
    <cfRule type="expression" dxfId="1283" priority="3560">
      <formula>#REF!="Yes"</formula>
    </cfRule>
  </conditionalFormatting>
  <conditionalFormatting sqref="P94">
    <cfRule type="cellIs" dxfId="1282" priority="3554" operator="equal">
      <formula>AS_DURATION_EFFORT</formula>
    </cfRule>
    <cfRule type="cellIs" dxfId="1281" priority="3555" operator="equal">
      <formula>AS_DEV_EFFORT</formula>
    </cfRule>
  </conditionalFormatting>
  <conditionalFormatting sqref="B92:B93">
    <cfRule type="expression" dxfId="1280" priority="3553">
      <formula>AD92&lt;&gt;""</formula>
    </cfRule>
  </conditionalFormatting>
  <conditionalFormatting sqref="F94">
    <cfRule type="expression" dxfId="1279" priority="3552">
      <formula>$K94&lt;&gt;""</formula>
    </cfRule>
  </conditionalFormatting>
  <conditionalFormatting sqref="C94">
    <cfRule type="expression" dxfId="1278" priority="3551">
      <formula>$G94&lt;&gt;"-"</formula>
    </cfRule>
  </conditionalFormatting>
  <conditionalFormatting sqref="D94">
    <cfRule type="expression" dxfId="1277" priority="3550">
      <formula>$H94&lt;&gt;"-"</formula>
    </cfRule>
  </conditionalFormatting>
  <conditionalFormatting sqref="E94">
    <cfRule type="expression" dxfId="1276" priority="3549">
      <formula>$I94&lt;&gt;"-"</formula>
    </cfRule>
  </conditionalFormatting>
  <conditionalFormatting sqref="B86">
    <cfRule type="expression" dxfId="1275" priority="3545">
      <formula>AD86&lt;&gt;""</formula>
    </cfRule>
  </conditionalFormatting>
  <conditionalFormatting sqref="Z86">
    <cfRule type="cellIs" dxfId="1274" priority="3543" operator="greaterThan">
      <formula>0</formula>
    </cfRule>
    <cfRule type="cellIs" dxfId="1273" priority="3544" operator="lessThan">
      <formula>0</formula>
    </cfRule>
  </conditionalFormatting>
  <conditionalFormatting sqref="S86">
    <cfRule type="cellIs" dxfId="1272" priority="3542" operator="lessThan">
      <formula>0</formula>
    </cfRule>
  </conditionalFormatting>
  <conditionalFormatting sqref="T84:T85">
    <cfRule type="expression" dxfId="1271" priority="3546">
      <formula>#REF!="Yes"</formula>
    </cfRule>
  </conditionalFormatting>
  <conditionalFormatting sqref="P86">
    <cfRule type="cellIs" dxfId="1270" priority="3540" operator="equal">
      <formula>AS_DURATION_EFFORT</formula>
    </cfRule>
    <cfRule type="cellIs" dxfId="1269" priority="3541" operator="equal">
      <formula>AS_DEV_EFFORT</formula>
    </cfRule>
  </conditionalFormatting>
  <conditionalFormatting sqref="B84:B85">
    <cfRule type="expression" dxfId="1268" priority="3539">
      <formula>AD84&lt;&gt;""</formula>
    </cfRule>
  </conditionalFormatting>
  <conditionalFormatting sqref="F86">
    <cfRule type="expression" dxfId="1267" priority="3538">
      <formula>$K86&lt;&gt;""</formula>
    </cfRule>
  </conditionalFormatting>
  <conditionalFormatting sqref="C86">
    <cfRule type="expression" dxfId="1266" priority="3537">
      <formula>$G86&lt;&gt;"-"</formula>
    </cfRule>
  </conditionalFormatting>
  <conditionalFormatting sqref="D86">
    <cfRule type="expression" dxfId="1265" priority="3536">
      <formula>$H86&lt;&gt;"-"</formula>
    </cfRule>
  </conditionalFormatting>
  <conditionalFormatting sqref="E86">
    <cfRule type="expression" dxfId="1264" priority="3535">
      <formula>$I86&lt;&gt;"-"</formula>
    </cfRule>
  </conditionalFormatting>
  <conditionalFormatting sqref="S91">
    <cfRule type="expression" dxfId="1263" priority="3530">
      <formula>#REF!="Yes"</formula>
    </cfRule>
  </conditionalFormatting>
  <conditionalFormatting sqref="B91">
    <cfRule type="expression" dxfId="1262" priority="3529">
      <formula>AD91&lt;&gt;""</formula>
    </cfRule>
  </conditionalFormatting>
  <conditionalFormatting sqref="B23">
    <cfRule type="expression" dxfId="1261" priority="3525">
      <formula>AD23&lt;&gt;""</formula>
    </cfRule>
  </conditionalFormatting>
  <conditionalFormatting sqref="Z23">
    <cfRule type="cellIs" dxfId="1260" priority="3523" operator="greaterThan">
      <formula>0</formula>
    </cfRule>
    <cfRule type="cellIs" dxfId="1259" priority="3524" operator="lessThan">
      <formula>0</formula>
    </cfRule>
  </conditionalFormatting>
  <conditionalFormatting sqref="S23">
    <cfRule type="cellIs" dxfId="1258" priority="3522" operator="lessThan">
      <formula>0</formula>
    </cfRule>
  </conditionalFormatting>
  <conditionalFormatting sqref="T20:T21">
    <cfRule type="expression" dxfId="1257" priority="3526">
      <formula>#REF!="Yes"</formula>
    </cfRule>
  </conditionalFormatting>
  <conditionalFormatting sqref="P23">
    <cfRule type="cellIs" dxfId="1256" priority="3520" operator="equal">
      <formula>AS_DURATION_EFFORT</formula>
    </cfRule>
    <cfRule type="cellIs" dxfId="1255" priority="3521" operator="equal">
      <formula>AS_DEV_EFFORT</formula>
    </cfRule>
  </conditionalFormatting>
  <conditionalFormatting sqref="B20:B21">
    <cfRule type="expression" dxfId="1254" priority="3519">
      <formula>AD20&lt;&gt;""</formula>
    </cfRule>
  </conditionalFormatting>
  <conditionalFormatting sqref="F23">
    <cfRule type="expression" dxfId="1253" priority="3518">
      <formula>$K23&lt;&gt;""</formula>
    </cfRule>
  </conditionalFormatting>
  <conditionalFormatting sqref="C23">
    <cfRule type="expression" dxfId="1252" priority="3517">
      <formula>$G23&lt;&gt;"-"</formula>
    </cfRule>
  </conditionalFormatting>
  <conditionalFormatting sqref="D23">
    <cfRule type="expression" dxfId="1251" priority="3516">
      <formula>$H23&lt;&gt;"-"</formula>
    </cfRule>
  </conditionalFormatting>
  <conditionalFormatting sqref="E23">
    <cfRule type="expression" dxfId="1250" priority="3515">
      <formula>$I23&lt;&gt;"-"</formula>
    </cfRule>
  </conditionalFormatting>
  <conditionalFormatting sqref="B24">
    <cfRule type="expression" dxfId="1249" priority="3512">
      <formula>AD24&lt;&gt;""</formula>
    </cfRule>
  </conditionalFormatting>
  <conditionalFormatting sqref="Z24">
    <cfRule type="cellIs" dxfId="1248" priority="3510" operator="greaterThan">
      <formula>0</formula>
    </cfRule>
    <cfRule type="cellIs" dxfId="1247" priority="3511" operator="lessThan">
      <formula>0</formula>
    </cfRule>
  </conditionalFormatting>
  <conditionalFormatting sqref="S24">
    <cfRule type="cellIs" dxfId="1246" priority="3509" operator="lessThan">
      <formula>0</formula>
    </cfRule>
  </conditionalFormatting>
  <conditionalFormatting sqref="P24">
    <cfRule type="cellIs" dxfId="1245" priority="3507" operator="equal">
      <formula>AS_DURATION_EFFORT</formula>
    </cfRule>
    <cfRule type="cellIs" dxfId="1244" priority="3508" operator="equal">
      <formula>AS_DEV_EFFORT</formula>
    </cfRule>
  </conditionalFormatting>
  <conditionalFormatting sqref="F24">
    <cfRule type="expression" dxfId="1243" priority="3506">
      <formula>$K24&lt;&gt;""</formula>
    </cfRule>
  </conditionalFormatting>
  <conditionalFormatting sqref="C24">
    <cfRule type="expression" dxfId="1242" priority="3505">
      <formula>$G24&lt;&gt;"-"</formula>
    </cfRule>
  </conditionalFormatting>
  <conditionalFormatting sqref="D24">
    <cfRule type="expression" dxfId="1241" priority="3504">
      <formula>$H24&lt;&gt;"-"</formula>
    </cfRule>
  </conditionalFormatting>
  <conditionalFormatting sqref="E24">
    <cfRule type="expression" dxfId="1240" priority="3503">
      <formula>$I24&lt;&gt;"-"</formula>
    </cfRule>
  </conditionalFormatting>
  <conditionalFormatting sqref="B59">
    <cfRule type="expression" dxfId="1239" priority="3449">
      <formula>AD59&lt;&gt;""</formula>
    </cfRule>
  </conditionalFormatting>
  <conditionalFormatting sqref="Z59">
    <cfRule type="cellIs" dxfId="1238" priority="3447" operator="greaterThan">
      <formula>0</formula>
    </cfRule>
    <cfRule type="cellIs" dxfId="1237" priority="3448" operator="lessThan">
      <formula>0</formula>
    </cfRule>
  </conditionalFormatting>
  <conditionalFormatting sqref="S59">
    <cfRule type="cellIs" dxfId="1236" priority="3446" operator="lessThan">
      <formula>0</formula>
    </cfRule>
  </conditionalFormatting>
  <conditionalFormatting sqref="T57:T58">
    <cfRule type="expression" dxfId="1235" priority="3450">
      <formula>#REF!="Yes"</formula>
    </cfRule>
  </conditionalFormatting>
  <conditionalFormatting sqref="P59">
    <cfRule type="cellIs" dxfId="1234" priority="3444" operator="equal">
      <formula>AS_DURATION_EFFORT</formula>
    </cfRule>
    <cfRule type="cellIs" dxfId="1233" priority="3445" operator="equal">
      <formula>AS_DEV_EFFORT</formula>
    </cfRule>
  </conditionalFormatting>
  <conditionalFormatting sqref="B57:B58">
    <cfRule type="expression" dxfId="1232" priority="3443">
      <formula>AD57&lt;&gt;""</formula>
    </cfRule>
  </conditionalFormatting>
  <conditionalFormatting sqref="F59">
    <cfRule type="expression" dxfId="1231" priority="3442">
      <formula>$K59&lt;&gt;""</formula>
    </cfRule>
  </conditionalFormatting>
  <conditionalFormatting sqref="C59">
    <cfRule type="expression" dxfId="1230" priority="3441">
      <formula>$G59&lt;&gt;"-"</formula>
    </cfRule>
  </conditionalFormatting>
  <conditionalFormatting sqref="D59">
    <cfRule type="expression" dxfId="1229" priority="3440">
      <formula>$H59&lt;&gt;"-"</formula>
    </cfRule>
  </conditionalFormatting>
  <conditionalFormatting sqref="E59">
    <cfRule type="expression" dxfId="1228" priority="3439">
      <formula>$I59&lt;&gt;"-"</formula>
    </cfRule>
  </conditionalFormatting>
  <conditionalFormatting sqref="B63">
    <cfRule type="expression" dxfId="1227" priority="3435">
      <formula>AD63&lt;&gt;""</formula>
    </cfRule>
  </conditionalFormatting>
  <conditionalFormatting sqref="Z63">
    <cfRule type="cellIs" dxfId="1226" priority="3433" operator="greaterThan">
      <formula>0</formula>
    </cfRule>
    <cfRule type="cellIs" dxfId="1225" priority="3434" operator="lessThan">
      <formula>0</formula>
    </cfRule>
  </conditionalFormatting>
  <conditionalFormatting sqref="S63">
    <cfRule type="cellIs" dxfId="1224" priority="3432" operator="lessThan">
      <formula>0</formula>
    </cfRule>
  </conditionalFormatting>
  <conditionalFormatting sqref="T61:T62">
    <cfRule type="expression" dxfId="1223" priority="3436">
      <formula>#REF!="Yes"</formula>
    </cfRule>
  </conditionalFormatting>
  <conditionalFormatting sqref="P63">
    <cfRule type="cellIs" dxfId="1222" priority="3430" operator="equal">
      <formula>AS_DURATION_EFFORT</formula>
    </cfRule>
    <cfRule type="cellIs" dxfId="1221" priority="3431" operator="equal">
      <formula>AS_DEV_EFFORT</formula>
    </cfRule>
  </conditionalFormatting>
  <conditionalFormatting sqref="B61:B62">
    <cfRule type="expression" dxfId="1220" priority="3429">
      <formula>AD61&lt;&gt;""</formula>
    </cfRule>
  </conditionalFormatting>
  <conditionalFormatting sqref="F63">
    <cfRule type="expression" dxfId="1219" priority="3428">
      <formula>$K63&lt;&gt;""</formula>
    </cfRule>
  </conditionalFormatting>
  <conditionalFormatting sqref="C63">
    <cfRule type="expression" dxfId="1218" priority="3427">
      <formula>$G63&lt;&gt;"-"</formula>
    </cfRule>
  </conditionalFormatting>
  <conditionalFormatting sqref="D63">
    <cfRule type="expression" dxfId="1217" priority="3426">
      <formula>$H63&lt;&gt;"-"</formula>
    </cfRule>
  </conditionalFormatting>
  <conditionalFormatting sqref="E63">
    <cfRule type="expression" dxfId="1216" priority="3425">
      <formula>$I63&lt;&gt;"-"</formula>
    </cfRule>
  </conditionalFormatting>
  <conditionalFormatting sqref="B69">
    <cfRule type="expression" dxfId="1215" priority="3421">
      <formula>AD69&lt;&gt;""</formula>
    </cfRule>
  </conditionalFormatting>
  <conditionalFormatting sqref="Z69">
    <cfRule type="cellIs" dxfId="1214" priority="3419" operator="greaterThan">
      <formula>0</formula>
    </cfRule>
    <cfRule type="cellIs" dxfId="1213" priority="3420" operator="lessThan">
      <formula>0</formula>
    </cfRule>
  </conditionalFormatting>
  <conditionalFormatting sqref="S69">
    <cfRule type="cellIs" dxfId="1212" priority="3418" operator="lessThan">
      <formula>0</formula>
    </cfRule>
  </conditionalFormatting>
  <conditionalFormatting sqref="T67:T68">
    <cfRule type="expression" dxfId="1211" priority="3422">
      <formula>#REF!="Yes"</formula>
    </cfRule>
  </conditionalFormatting>
  <conditionalFormatting sqref="P69">
    <cfRule type="cellIs" dxfId="1210" priority="3416" operator="equal">
      <formula>AS_DURATION_EFFORT</formula>
    </cfRule>
    <cfRule type="cellIs" dxfId="1209" priority="3417" operator="equal">
      <formula>AS_DEV_EFFORT</formula>
    </cfRule>
  </conditionalFormatting>
  <conditionalFormatting sqref="B67:B68">
    <cfRule type="expression" dxfId="1208" priority="3415">
      <formula>AD67&lt;&gt;""</formula>
    </cfRule>
  </conditionalFormatting>
  <conditionalFormatting sqref="F69">
    <cfRule type="expression" dxfId="1207" priority="3414">
      <formula>$K69&lt;&gt;""</formula>
    </cfRule>
  </conditionalFormatting>
  <conditionalFormatting sqref="C69">
    <cfRule type="expression" dxfId="1206" priority="3413">
      <formula>$G69&lt;&gt;"-"</formula>
    </cfRule>
  </conditionalFormatting>
  <conditionalFormatting sqref="D69">
    <cfRule type="expression" dxfId="1205" priority="3412">
      <formula>$H69&lt;&gt;"-"</formula>
    </cfRule>
  </conditionalFormatting>
  <conditionalFormatting sqref="E69">
    <cfRule type="expression" dxfId="1204" priority="3411">
      <formula>$I69&lt;&gt;"-"</formula>
    </cfRule>
  </conditionalFormatting>
  <conditionalFormatting sqref="B64">
    <cfRule type="expression" dxfId="1203" priority="3368">
      <formula>AD64&lt;&gt;""</formula>
    </cfRule>
  </conditionalFormatting>
  <conditionalFormatting sqref="Z64">
    <cfRule type="cellIs" dxfId="1202" priority="3366" operator="greaterThan">
      <formula>0</formula>
    </cfRule>
    <cfRule type="cellIs" dxfId="1201" priority="3367" operator="lessThan">
      <formula>0</formula>
    </cfRule>
  </conditionalFormatting>
  <conditionalFormatting sqref="S64">
    <cfRule type="cellIs" dxfId="1200" priority="3365" operator="lessThan">
      <formula>0</formula>
    </cfRule>
  </conditionalFormatting>
  <conditionalFormatting sqref="P64">
    <cfRule type="cellIs" dxfId="1199" priority="3363" operator="equal">
      <formula>AS_DURATION_EFFORT</formula>
    </cfRule>
    <cfRule type="cellIs" dxfId="1198" priority="3364" operator="equal">
      <formula>AS_DEV_EFFORT</formula>
    </cfRule>
  </conditionalFormatting>
  <conditionalFormatting sqref="F64">
    <cfRule type="expression" dxfId="1197" priority="3362">
      <formula>$K64&lt;&gt;""</formula>
    </cfRule>
  </conditionalFormatting>
  <conditionalFormatting sqref="C64">
    <cfRule type="expression" dxfId="1196" priority="3361">
      <formula>$G64&lt;&gt;"-"</formula>
    </cfRule>
  </conditionalFormatting>
  <conditionalFormatting sqref="D64">
    <cfRule type="expression" dxfId="1195" priority="3360">
      <formula>$H64&lt;&gt;"-"</formula>
    </cfRule>
  </conditionalFormatting>
  <conditionalFormatting sqref="E64">
    <cfRule type="expression" dxfId="1194" priority="3359">
      <formula>$I64&lt;&gt;"-"</formula>
    </cfRule>
  </conditionalFormatting>
  <conditionalFormatting sqref="B65">
    <cfRule type="expression" dxfId="1193" priority="3344">
      <formula>AD65&lt;&gt;""</formula>
    </cfRule>
  </conditionalFormatting>
  <conditionalFormatting sqref="Z65">
    <cfRule type="cellIs" dxfId="1192" priority="3342" operator="greaterThan">
      <formula>0</formula>
    </cfRule>
    <cfRule type="cellIs" dxfId="1191" priority="3343" operator="lessThan">
      <formula>0</formula>
    </cfRule>
  </conditionalFormatting>
  <conditionalFormatting sqref="S65">
    <cfRule type="cellIs" dxfId="1190" priority="3341" operator="lessThan">
      <formula>0</formula>
    </cfRule>
  </conditionalFormatting>
  <conditionalFormatting sqref="P65">
    <cfRule type="cellIs" dxfId="1189" priority="3339" operator="equal">
      <formula>AS_DURATION_EFFORT</formula>
    </cfRule>
    <cfRule type="cellIs" dxfId="1188" priority="3340" operator="equal">
      <formula>AS_DEV_EFFORT</formula>
    </cfRule>
  </conditionalFormatting>
  <conditionalFormatting sqref="F65">
    <cfRule type="expression" dxfId="1187" priority="3338">
      <formula>$K65&lt;&gt;""</formula>
    </cfRule>
  </conditionalFormatting>
  <conditionalFormatting sqref="C65">
    <cfRule type="expression" dxfId="1186" priority="3337">
      <formula>$G65&lt;&gt;"-"</formula>
    </cfRule>
  </conditionalFormatting>
  <conditionalFormatting sqref="D65">
    <cfRule type="expression" dxfId="1185" priority="3336">
      <formula>$H65&lt;&gt;"-"</formula>
    </cfRule>
  </conditionalFormatting>
  <conditionalFormatting sqref="E65">
    <cfRule type="expression" dxfId="1184" priority="3335">
      <formula>$I65&lt;&gt;"-"</formula>
    </cfRule>
  </conditionalFormatting>
  <conditionalFormatting sqref="B72">
    <cfRule type="expression" dxfId="1183" priority="3260">
      <formula>AD72&lt;&gt;""</formula>
    </cfRule>
  </conditionalFormatting>
  <conditionalFormatting sqref="Z72">
    <cfRule type="cellIs" dxfId="1182" priority="3258" operator="greaterThan">
      <formula>0</formula>
    </cfRule>
    <cfRule type="cellIs" dxfId="1181" priority="3259" operator="lessThan">
      <formula>0</formula>
    </cfRule>
  </conditionalFormatting>
  <conditionalFormatting sqref="S72">
    <cfRule type="cellIs" dxfId="1180" priority="3257" operator="lessThan">
      <formula>0</formula>
    </cfRule>
  </conditionalFormatting>
  <conditionalFormatting sqref="P72">
    <cfRule type="cellIs" dxfId="1179" priority="3255" operator="equal">
      <formula>AS_DURATION_EFFORT</formula>
    </cfRule>
    <cfRule type="cellIs" dxfId="1178" priority="3256" operator="equal">
      <formula>AS_DEV_EFFORT</formula>
    </cfRule>
  </conditionalFormatting>
  <conditionalFormatting sqref="F72">
    <cfRule type="expression" dxfId="1177" priority="3254">
      <formula>$K72&lt;&gt;""</formula>
    </cfRule>
  </conditionalFormatting>
  <conditionalFormatting sqref="C72">
    <cfRule type="expression" dxfId="1176" priority="3253">
      <formula>$G72&lt;&gt;"-"</formula>
    </cfRule>
  </conditionalFormatting>
  <conditionalFormatting sqref="D72">
    <cfRule type="expression" dxfId="1175" priority="3252">
      <formula>$H72&lt;&gt;"-"</formula>
    </cfRule>
  </conditionalFormatting>
  <conditionalFormatting sqref="E72">
    <cfRule type="expression" dxfId="1174" priority="3251">
      <formula>$I72&lt;&gt;"-"</formula>
    </cfRule>
  </conditionalFormatting>
  <conditionalFormatting sqref="B71">
    <cfRule type="expression" dxfId="1173" priority="3236">
      <formula>AD71&lt;&gt;""</formula>
    </cfRule>
  </conditionalFormatting>
  <conditionalFormatting sqref="Z71">
    <cfRule type="cellIs" dxfId="1172" priority="3234" operator="greaterThan">
      <formula>0</formula>
    </cfRule>
    <cfRule type="cellIs" dxfId="1171" priority="3235" operator="lessThan">
      <formula>0</formula>
    </cfRule>
  </conditionalFormatting>
  <conditionalFormatting sqref="S71">
    <cfRule type="cellIs" dxfId="1170" priority="3233" operator="lessThan">
      <formula>0</formula>
    </cfRule>
  </conditionalFormatting>
  <conditionalFormatting sqref="P71">
    <cfRule type="cellIs" dxfId="1169" priority="3231" operator="equal">
      <formula>AS_DURATION_EFFORT</formula>
    </cfRule>
    <cfRule type="cellIs" dxfId="1168" priority="3232" operator="equal">
      <formula>AS_DEV_EFFORT</formula>
    </cfRule>
  </conditionalFormatting>
  <conditionalFormatting sqref="F71">
    <cfRule type="expression" dxfId="1167" priority="3230">
      <formula>$K71&lt;&gt;""</formula>
    </cfRule>
  </conditionalFormatting>
  <conditionalFormatting sqref="C71">
    <cfRule type="expression" dxfId="1166" priority="3229">
      <formula>$G71&lt;&gt;"-"</formula>
    </cfRule>
  </conditionalFormatting>
  <conditionalFormatting sqref="D71">
    <cfRule type="expression" dxfId="1165" priority="3228">
      <formula>$H71&lt;&gt;"-"</formula>
    </cfRule>
  </conditionalFormatting>
  <conditionalFormatting sqref="E71">
    <cfRule type="expression" dxfId="1164" priority="3227">
      <formula>$I71&lt;&gt;"-"</formula>
    </cfRule>
  </conditionalFormatting>
  <conditionalFormatting sqref="B70">
    <cfRule type="expression" dxfId="1163" priority="3224">
      <formula>AD70&lt;&gt;""</formula>
    </cfRule>
  </conditionalFormatting>
  <conditionalFormatting sqref="Z70">
    <cfRule type="cellIs" dxfId="1162" priority="3222" operator="greaterThan">
      <formula>0</formula>
    </cfRule>
    <cfRule type="cellIs" dxfId="1161" priority="3223" operator="lessThan">
      <formula>0</formula>
    </cfRule>
  </conditionalFormatting>
  <conditionalFormatting sqref="S70">
    <cfRule type="cellIs" dxfId="1160" priority="3221" operator="lessThan">
      <formula>0</formula>
    </cfRule>
  </conditionalFormatting>
  <conditionalFormatting sqref="P70">
    <cfRule type="cellIs" dxfId="1159" priority="3219" operator="equal">
      <formula>AS_DURATION_EFFORT</formula>
    </cfRule>
    <cfRule type="cellIs" dxfId="1158" priority="3220" operator="equal">
      <formula>AS_DEV_EFFORT</formula>
    </cfRule>
  </conditionalFormatting>
  <conditionalFormatting sqref="F70">
    <cfRule type="expression" dxfId="1157" priority="3218">
      <formula>$K70&lt;&gt;""</formula>
    </cfRule>
  </conditionalFormatting>
  <conditionalFormatting sqref="C70">
    <cfRule type="expression" dxfId="1156" priority="3217">
      <formula>$G70&lt;&gt;"-"</formula>
    </cfRule>
  </conditionalFormatting>
  <conditionalFormatting sqref="D70">
    <cfRule type="expression" dxfId="1155" priority="3216">
      <formula>$H70&lt;&gt;"-"</formula>
    </cfRule>
  </conditionalFormatting>
  <conditionalFormatting sqref="E70">
    <cfRule type="expression" dxfId="1154" priority="3215">
      <formula>$I70&lt;&gt;"-"</formula>
    </cfRule>
  </conditionalFormatting>
  <conditionalFormatting sqref="B82">
    <cfRule type="expression" dxfId="1153" priority="3176">
      <formula>AD82&lt;&gt;""</formula>
    </cfRule>
  </conditionalFormatting>
  <conditionalFormatting sqref="Z82">
    <cfRule type="cellIs" dxfId="1152" priority="3174" operator="greaterThan">
      <formula>0</formula>
    </cfRule>
    <cfRule type="cellIs" dxfId="1151" priority="3175" operator="lessThan">
      <formula>0</formula>
    </cfRule>
  </conditionalFormatting>
  <conditionalFormatting sqref="S82">
    <cfRule type="cellIs" dxfId="1150" priority="3173" operator="lessThan">
      <formula>0</formula>
    </cfRule>
  </conditionalFormatting>
  <conditionalFormatting sqref="P82">
    <cfRule type="cellIs" dxfId="1149" priority="3171" operator="equal">
      <formula>AS_DURATION_EFFORT</formula>
    </cfRule>
    <cfRule type="cellIs" dxfId="1148" priority="3172" operator="equal">
      <formula>AS_DEV_EFFORT</formula>
    </cfRule>
  </conditionalFormatting>
  <conditionalFormatting sqref="F82">
    <cfRule type="expression" dxfId="1147" priority="3170">
      <formula>$K82&lt;&gt;""</formula>
    </cfRule>
  </conditionalFormatting>
  <conditionalFormatting sqref="C82">
    <cfRule type="expression" dxfId="1146" priority="3169">
      <formula>$G82&lt;&gt;"-"</formula>
    </cfRule>
  </conditionalFormatting>
  <conditionalFormatting sqref="D82">
    <cfRule type="expression" dxfId="1145" priority="3168">
      <formula>$H82&lt;&gt;"-"</formula>
    </cfRule>
  </conditionalFormatting>
  <conditionalFormatting sqref="E82">
    <cfRule type="expression" dxfId="1144" priority="3167">
      <formula>$I82&lt;&gt;"-"</formula>
    </cfRule>
  </conditionalFormatting>
  <conditionalFormatting sqref="B81">
    <cfRule type="expression" dxfId="1143" priority="3164">
      <formula>AD81&lt;&gt;""</formula>
    </cfRule>
  </conditionalFormatting>
  <conditionalFormatting sqref="Z81">
    <cfRule type="cellIs" dxfId="1142" priority="3162" operator="greaterThan">
      <formula>0</formula>
    </cfRule>
    <cfRule type="cellIs" dxfId="1141" priority="3163" operator="lessThan">
      <formula>0</formula>
    </cfRule>
  </conditionalFormatting>
  <conditionalFormatting sqref="S81">
    <cfRule type="cellIs" dxfId="1140" priority="3161" operator="lessThan">
      <formula>0</formula>
    </cfRule>
  </conditionalFormatting>
  <conditionalFormatting sqref="P81">
    <cfRule type="cellIs" dxfId="1139" priority="3159" operator="equal">
      <formula>AS_DURATION_EFFORT</formula>
    </cfRule>
    <cfRule type="cellIs" dxfId="1138" priority="3160" operator="equal">
      <formula>AS_DEV_EFFORT</formula>
    </cfRule>
  </conditionalFormatting>
  <conditionalFormatting sqref="F81">
    <cfRule type="expression" dxfId="1137" priority="3158">
      <formula>$K81&lt;&gt;""</formula>
    </cfRule>
  </conditionalFormatting>
  <conditionalFormatting sqref="C81">
    <cfRule type="expression" dxfId="1136" priority="3157">
      <formula>$G81&lt;&gt;"-"</formula>
    </cfRule>
  </conditionalFormatting>
  <conditionalFormatting sqref="D81">
    <cfRule type="expression" dxfId="1135" priority="3156">
      <formula>$H81&lt;&gt;"-"</formula>
    </cfRule>
  </conditionalFormatting>
  <conditionalFormatting sqref="E81">
    <cfRule type="expression" dxfId="1134" priority="3155">
      <formula>$I81&lt;&gt;"-"</formula>
    </cfRule>
  </conditionalFormatting>
  <conditionalFormatting sqref="B80">
    <cfRule type="expression" dxfId="1133" priority="3152">
      <formula>AD80&lt;&gt;""</formula>
    </cfRule>
  </conditionalFormatting>
  <conditionalFormatting sqref="Z80">
    <cfRule type="cellIs" dxfId="1132" priority="3150" operator="greaterThan">
      <formula>0</formula>
    </cfRule>
    <cfRule type="cellIs" dxfId="1131" priority="3151" operator="lessThan">
      <formula>0</formula>
    </cfRule>
  </conditionalFormatting>
  <conditionalFormatting sqref="S80">
    <cfRule type="cellIs" dxfId="1130" priority="3149" operator="lessThan">
      <formula>0</formula>
    </cfRule>
  </conditionalFormatting>
  <conditionalFormatting sqref="P80">
    <cfRule type="cellIs" dxfId="1129" priority="3147" operator="equal">
      <formula>AS_DURATION_EFFORT</formula>
    </cfRule>
    <cfRule type="cellIs" dxfId="1128" priority="3148" operator="equal">
      <formula>AS_DEV_EFFORT</formula>
    </cfRule>
  </conditionalFormatting>
  <conditionalFormatting sqref="F80">
    <cfRule type="expression" dxfId="1127" priority="3146">
      <formula>$K80&lt;&gt;""</formula>
    </cfRule>
  </conditionalFormatting>
  <conditionalFormatting sqref="C80">
    <cfRule type="expression" dxfId="1126" priority="3145">
      <formula>$G80&lt;&gt;"-"</formula>
    </cfRule>
  </conditionalFormatting>
  <conditionalFormatting sqref="D80">
    <cfRule type="expression" dxfId="1125" priority="3144">
      <formula>$H80&lt;&gt;"-"</formula>
    </cfRule>
  </conditionalFormatting>
  <conditionalFormatting sqref="E80">
    <cfRule type="expression" dxfId="1124" priority="3143">
      <formula>$I80&lt;&gt;"-"</formula>
    </cfRule>
  </conditionalFormatting>
  <conditionalFormatting sqref="B89">
    <cfRule type="expression" dxfId="1123" priority="3128">
      <formula>AD89&lt;&gt;""</formula>
    </cfRule>
  </conditionalFormatting>
  <conditionalFormatting sqref="Z89">
    <cfRule type="cellIs" dxfId="1122" priority="3126" operator="greaterThan">
      <formula>0</formula>
    </cfRule>
    <cfRule type="cellIs" dxfId="1121" priority="3127" operator="lessThan">
      <formula>0</formula>
    </cfRule>
  </conditionalFormatting>
  <conditionalFormatting sqref="S89">
    <cfRule type="cellIs" dxfId="1120" priority="3125" operator="lessThan">
      <formula>0</formula>
    </cfRule>
  </conditionalFormatting>
  <conditionalFormatting sqref="P89">
    <cfRule type="cellIs" dxfId="1119" priority="3123" operator="equal">
      <formula>AS_DURATION_EFFORT</formula>
    </cfRule>
    <cfRule type="cellIs" dxfId="1118" priority="3124" operator="equal">
      <formula>AS_DEV_EFFORT</formula>
    </cfRule>
  </conditionalFormatting>
  <conditionalFormatting sqref="F89">
    <cfRule type="expression" dxfId="1117" priority="3122">
      <formula>$K89&lt;&gt;""</formula>
    </cfRule>
  </conditionalFormatting>
  <conditionalFormatting sqref="C89">
    <cfRule type="expression" dxfId="1116" priority="3121">
      <formula>$G89&lt;&gt;"-"</formula>
    </cfRule>
  </conditionalFormatting>
  <conditionalFormatting sqref="D89">
    <cfRule type="expression" dxfId="1115" priority="3120">
      <formula>$H89&lt;&gt;"-"</formula>
    </cfRule>
  </conditionalFormatting>
  <conditionalFormatting sqref="E89">
    <cfRule type="expression" dxfId="1114" priority="3119">
      <formula>$I89&lt;&gt;"-"</formula>
    </cfRule>
  </conditionalFormatting>
  <conditionalFormatting sqref="B88">
    <cfRule type="expression" dxfId="1113" priority="3116">
      <formula>AD88&lt;&gt;""</formula>
    </cfRule>
  </conditionalFormatting>
  <conditionalFormatting sqref="Z88">
    <cfRule type="cellIs" dxfId="1112" priority="3114" operator="greaterThan">
      <formula>0</formula>
    </cfRule>
    <cfRule type="cellIs" dxfId="1111" priority="3115" operator="lessThan">
      <formula>0</formula>
    </cfRule>
  </conditionalFormatting>
  <conditionalFormatting sqref="S88">
    <cfRule type="cellIs" dxfId="1110" priority="3113" operator="lessThan">
      <formula>0</formula>
    </cfRule>
  </conditionalFormatting>
  <conditionalFormatting sqref="P88">
    <cfRule type="cellIs" dxfId="1109" priority="3111" operator="equal">
      <formula>AS_DURATION_EFFORT</formula>
    </cfRule>
    <cfRule type="cellIs" dxfId="1108" priority="3112" operator="equal">
      <formula>AS_DEV_EFFORT</formula>
    </cfRule>
  </conditionalFormatting>
  <conditionalFormatting sqref="F88">
    <cfRule type="expression" dxfId="1107" priority="3110">
      <formula>$K88&lt;&gt;""</formula>
    </cfRule>
  </conditionalFormatting>
  <conditionalFormatting sqref="C88">
    <cfRule type="expression" dxfId="1106" priority="3109">
      <formula>$G88&lt;&gt;"-"</formula>
    </cfRule>
  </conditionalFormatting>
  <conditionalFormatting sqref="D88">
    <cfRule type="expression" dxfId="1105" priority="3108">
      <formula>$H88&lt;&gt;"-"</formula>
    </cfRule>
  </conditionalFormatting>
  <conditionalFormatting sqref="E88">
    <cfRule type="expression" dxfId="1104" priority="3107">
      <formula>$I88&lt;&gt;"-"</formula>
    </cfRule>
  </conditionalFormatting>
  <conditionalFormatting sqref="B87">
    <cfRule type="expression" dxfId="1103" priority="3104">
      <formula>AD87&lt;&gt;""</formula>
    </cfRule>
  </conditionalFormatting>
  <conditionalFormatting sqref="Z87">
    <cfRule type="cellIs" dxfId="1102" priority="3102" operator="greaterThan">
      <formula>0</formula>
    </cfRule>
    <cfRule type="cellIs" dxfId="1101" priority="3103" operator="lessThan">
      <formula>0</formula>
    </cfRule>
  </conditionalFormatting>
  <conditionalFormatting sqref="S87">
    <cfRule type="cellIs" dxfId="1100" priority="3101" operator="lessThan">
      <formula>0</formula>
    </cfRule>
  </conditionalFormatting>
  <conditionalFormatting sqref="P87">
    <cfRule type="cellIs" dxfId="1099" priority="3099" operator="equal">
      <formula>AS_DURATION_EFFORT</formula>
    </cfRule>
    <cfRule type="cellIs" dxfId="1098" priority="3100" operator="equal">
      <formula>AS_DEV_EFFORT</formula>
    </cfRule>
  </conditionalFormatting>
  <conditionalFormatting sqref="F87">
    <cfRule type="expression" dxfId="1097" priority="3098">
      <formula>$K87&lt;&gt;""</formula>
    </cfRule>
  </conditionalFormatting>
  <conditionalFormatting sqref="C87">
    <cfRule type="expression" dxfId="1096" priority="3097">
      <formula>$G87&lt;&gt;"-"</formula>
    </cfRule>
  </conditionalFormatting>
  <conditionalFormatting sqref="D87">
    <cfRule type="expression" dxfId="1095" priority="3096">
      <formula>$H87&lt;&gt;"-"</formula>
    </cfRule>
  </conditionalFormatting>
  <conditionalFormatting sqref="E87">
    <cfRule type="expression" dxfId="1094" priority="3095">
      <formula>$I87&lt;&gt;"-"</formula>
    </cfRule>
  </conditionalFormatting>
  <conditionalFormatting sqref="S116">
    <cfRule type="expression" dxfId="1093" priority="3082">
      <formula>#REF!="Yes"</formula>
    </cfRule>
  </conditionalFormatting>
  <conditionalFormatting sqref="B116">
    <cfRule type="expression" dxfId="1092" priority="3081">
      <formula>AD116&lt;&gt;""</formula>
    </cfRule>
  </conditionalFormatting>
  <conditionalFormatting sqref="B321">
    <cfRule type="expression" dxfId="1091" priority="3047">
      <formula>AD321&lt;&gt;""</formula>
    </cfRule>
  </conditionalFormatting>
  <conditionalFormatting sqref="Z321">
    <cfRule type="cellIs" dxfId="1090" priority="3045" operator="greaterThan">
      <formula>0</formula>
    </cfRule>
    <cfRule type="cellIs" dxfId="1089" priority="3046" operator="lessThan">
      <formula>0</formula>
    </cfRule>
  </conditionalFormatting>
  <conditionalFormatting sqref="S321">
    <cfRule type="cellIs" dxfId="1088" priority="3044" operator="lessThan">
      <formula>0</formula>
    </cfRule>
  </conditionalFormatting>
  <conditionalFormatting sqref="T319:T320">
    <cfRule type="expression" dxfId="1087" priority="3048">
      <formula>#REF!="Yes"</formula>
    </cfRule>
  </conditionalFormatting>
  <conditionalFormatting sqref="P321">
    <cfRule type="cellIs" dxfId="1086" priority="3042" operator="equal">
      <formula>AS_DURATION_EFFORT</formula>
    </cfRule>
    <cfRule type="cellIs" dxfId="1085" priority="3043" operator="equal">
      <formula>AS_DEV_EFFORT</formula>
    </cfRule>
  </conditionalFormatting>
  <conditionalFormatting sqref="B319:B320">
    <cfRule type="expression" dxfId="1084" priority="3041">
      <formula>AD319&lt;&gt;""</formula>
    </cfRule>
  </conditionalFormatting>
  <conditionalFormatting sqref="F321">
    <cfRule type="expression" dxfId="1083" priority="3040">
      <formula>$K321&lt;&gt;""</formula>
    </cfRule>
  </conditionalFormatting>
  <conditionalFormatting sqref="C321">
    <cfRule type="expression" dxfId="1082" priority="3039">
      <formula>$G321&lt;&gt;"-"</formula>
    </cfRule>
  </conditionalFormatting>
  <conditionalFormatting sqref="D321">
    <cfRule type="expression" dxfId="1081" priority="3038">
      <formula>$H321&lt;&gt;"-"</formula>
    </cfRule>
  </conditionalFormatting>
  <conditionalFormatting sqref="E321">
    <cfRule type="expression" dxfId="1080" priority="3037">
      <formula>$I321&lt;&gt;"-"</formula>
    </cfRule>
  </conditionalFormatting>
  <conditionalFormatting sqref="B322">
    <cfRule type="expression" dxfId="1079" priority="3034">
      <formula>AD322&lt;&gt;""</formula>
    </cfRule>
  </conditionalFormatting>
  <conditionalFormatting sqref="Z322">
    <cfRule type="cellIs" dxfId="1078" priority="3032" operator="greaterThan">
      <formula>0</formula>
    </cfRule>
    <cfRule type="cellIs" dxfId="1077" priority="3033" operator="lessThan">
      <formula>0</formula>
    </cfRule>
  </conditionalFormatting>
  <conditionalFormatting sqref="S322">
    <cfRule type="cellIs" dxfId="1076" priority="3031" operator="lessThan">
      <formula>0</formula>
    </cfRule>
  </conditionalFormatting>
  <conditionalFormatting sqref="F322">
    <cfRule type="expression" dxfId="1075" priority="3028">
      <formula>$K322&lt;&gt;""</formula>
    </cfRule>
  </conditionalFormatting>
  <conditionalFormatting sqref="C322">
    <cfRule type="expression" dxfId="1074" priority="3027">
      <formula>$G322&lt;&gt;"-"</formula>
    </cfRule>
  </conditionalFormatting>
  <conditionalFormatting sqref="D322">
    <cfRule type="expression" dxfId="1073" priority="3026">
      <formula>$H322&lt;&gt;"-"</formula>
    </cfRule>
  </conditionalFormatting>
  <conditionalFormatting sqref="E322">
    <cfRule type="expression" dxfId="1072" priority="3025">
      <formula>$I322&lt;&gt;"-"</formula>
    </cfRule>
  </conditionalFormatting>
  <conditionalFormatting sqref="B326">
    <cfRule type="expression" dxfId="1071" priority="3021">
      <formula>AD326&lt;&gt;""</formula>
    </cfRule>
  </conditionalFormatting>
  <conditionalFormatting sqref="Z326">
    <cfRule type="cellIs" dxfId="1070" priority="3019" operator="greaterThan">
      <formula>0</formula>
    </cfRule>
    <cfRule type="cellIs" dxfId="1069" priority="3020" operator="lessThan">
      <formula>0</formula>
    </cfRule>
  </conditionalFormatting>
  <conditionalFormatting sqref="S326">
    <cfRule type="cellIs" dxfId="1068" priority="3018" operator="lessThan">
      <formula>0</formula>
    </cfRule>
  </conditionalFormatting>
  <conditionalFormatting sqref="T324:T325">
    <cfRule type="expression" dxfId="1067" priority="3022">
      <formula>#REF!="Yes"</formula>
    </cfRule>
  </conditionalFormatting>
  <conditionalFormatting sqref="B324:B325">
    <cfRule type="expression" dxfId="1066" priority="3015">
      <formula>AD324&lt;&gt;""</formula>
    </cfRule>
  </conditionalFormatting>
  <conditionalFormatting sqref="F326">
    <cfRule type="expression" dxfId="1065" priority="3014">
      <formula>$K326&lt;&gt;""</formula>
    </cfRule>
  </conditionalFormatting>
  <conditionalFormatting sqref="C326">
    <cfRule type="expression" dxfId="1064" priority="3013">
      <formula>$G326&lt;&gt;"-"</formula>
    </cfRule>
  </conditionalFormatting>
  <conditionalFormatting sqref="D326">
    <cfRule type="expression" dxfId="1063" priority="3012">
      <formula>$H326&lt;&gt;"-"</formula>
    </cfRule>
  </conditionalFormatting>
  <conditionalFormatting sqref="E326">
    <cfRule type="expression" dxfId="1062" priority="3011">
      <formula>$I326&lt;&gt;"-"</formula>
    </cfRule>
  </conditionalFormatting>
  <conditionalFormatting sqref="B327">
    <cfRule type="expression" dxfId="1061" priority="3008">
      <formula>AD327&lt;&gt;""</formula>
    </cfRule>
  </conditionalFormatting>
  <conditionalFormatting sqref="Z327">
    <cfRule type="cellIs" dxfId="1060" priority="3006" operator="greaterThan">
      <formula>0</formula>
    </cfRule>
    <cfRule type="cellIs" dxfId="1059" priority="3007" operator="lessThan">
      <formula>0</formula>
    </cfRule>
  </conditionalFormatting>
  <conditionalFormatting sqref="S327">
    <cfRule type="cellIs" dxfId="1058" priority="3005" operator="lessThan">
      <formula>0</formula>
    </cfRule>
  </conditionalFormatting>
  <conditionalFormatting sqref="P328">
    <cfRule type="cellIs" dxfId="1057" priority="2969" operator="equal">
      <formula>AS_DURATION_EFFORT</formula>
    </cfRule>
    <cfRule type="cellIs" dxfId="1056" priority="2970" operator="equal">
      <formula>AS_DEV_EFFORT</formula>
    </cfRule>
  </conditionalFormatting>
  <conditionalFormatting sqref="F327">
    <cfRule type="expression" dxfId="1055" priority="3002">
      <formula>$K327&lt;&gt;""</formula>
    </cfRule>
  </conditionalFormatting>
  <conditionalFormatting sqref="C327">
    <cfRule type="expression" dxfId="1054" priority="3001">
      <formula>$G327&lt;&gt;"-"</formula>
    </cfRule>
  </conditionalFormatting>
  <conditionalFormatting sqref="D327">
    <cfRule type="expression" dxfId="1053" priority="3000">
      <formula>$H327&lt;&gt;"-"</formula>
    </cfRule>
  </conditionalFormatting>
  <conditionalFormatting sqref="E327">
    <cfRule type="expression" dxfId="1052" priority="2999">
      <formula>$I327&lt;&gt;"-"</formula>
    </cfRule>
  </conditionalFormatting>
  <conditionalFormatting sqref="B329">
    <cfRule type="expression" dxfId="1051" priority="2996">
      <formula>AD329&lt;&gt;""</formula>
    </cfRule>
  </conditionalFormatting>
  <conditionalFormatting sqref="Z329">
    <cfRule type="cellIs" dxfId="1050" priority="2994" operator="greaterThan">
      <formula>0</formula>
    </cfRule>
    <cfRule type="cellIs" dxfId="1049" priority="2995" operator="lessThan">
      <formula>0</formula>
    </cfRule>
  </conditionalFormatting>
  <conditionalFormatting sqref="S329">
    <cfRule type="cellIs" dxfId="1048" priority="2993" operator="lessThan">
      <formula>0</formula>
    </cfRule>
  </conditionalFormatting>
  <conditionalFormatting sqref="P329">
    <cfRule type="cellIs" dxfId="1047" priority="2991" operator="equal">
      <formula>AS_DURATION_EFFORT</formula>
    </cfRule>
    <cfRule type="cellIs" dxfId="1046" priority="2992" operator="equal">
      <formula>AS_DEV_EFFORT</formula>
    </cfRule>
  </conditionalFormatting>
  <conditionalFormatting sqref="F329">
    <cfRule type="expression" dxfId="1045" priority="2990">
      <formula>$K329&lt;&gt;""</formula>
    </cfRule>
  </conditionalFormatting>
  <conditionalFormatting sqref="C329">
    <cfRule type="expression" dxfId="1044" priority="2989">
      <formula>$G329&lt;&gt;"-"</formula>
    </cfRule>
  </conditionalFormatting>
  <conditionalFormatting sqref="D329">
    <cfRule type="expression" dxfId="1043" priority="2988">
      <formula>$H329&lt;&gt;"-"</formula>
    </cfRule>
  </conditionalFormatting>
  <conditionalFormatting sqref="E329">
    <cfRule type="expression" dxfId="1042" priority="2987">
      <formula>$I329&lt;&gt;"-"</formula>
    </cfRule>
  </conditionalFormatting>
  <conditionalFormatting sqref="B328">
    <cfRule type="expression" dxfId="1041" priority="2984">
      <formula>AD328&lt;&gt;""</formula>
    </cfRule>
  </conditionalFormatting>
  <conditionalFormatting sqref="Z328">
    <cfRule type="cellIs" dxfId="1040" priority="2982" operator="greaterThan">
      <formula>0</formula>
    </cfRule>
    <cfRule type="cellIs" dxfId="1039" priority="2983" operator="lessThan">
      <formula>0</formula>
    </cfRule>
  </conditionalFormatting>
  <conditionalFormatting sqref="S328">
    <cfRule type="cellIs" dxfId="1038" priority="2981" operator="lessThan">
      <formula>0</formula>
    </cfRule>
  </conditionalFormatting>
  <conditionalFormatting sqref="P326">
    <cfRule type="cellIs" dxfId="1037" priority="2971" operator="equal">
      <formula>AS_DURATION_EFFORT</formula>
    </cfRule>
    <cfRule type="cellIs" dxfId="1036" priority="2972" operator="equal">
      <formula>AS_DEV_EFFORT</formula>
    </cfRule>
  </conditionalFormatting>
  <conditionalFormatting sqref="F328">
    <cfRule type="expression" dxfId="1035" priority="2978">
      <formula>$K328&lt;&gt;""</formula>
    </cfRule>
  </conditionalFormatting>
  <conditionalFormatting sqref="C328">
    <cfRule type="expression" dxfId="1034" priority="2977">
      <formula>$G328&lt;&gt;"-"</formula>
    </cfRule>
  </conditionalFormatting>
  <conditionalFormatting sqref="D328">
    <cfRule type="expression" dxfId="1033" priority="2976">
      <formula>$H328&lt;&gt;"-"</formula>
    </cfRule>
  </conditionalFormatting>
  <conditionalFormatting sqref="E328">
    <cfRule type="expression" dxfId="1032" priority="2975">
      <formula>$I328&lt;&gt;"-"</formula>
    </cfRule>
  </conditionalFormatting>
  <conditionalFormatting sqref="P327:P328">
    <cfRule type="cellIs" dxfId="1031" priority="2967" operator="equal">
      <formula>AS_DURATION_EFFORT</formula>
    </cfRule>
    <cfRule type="cellIs" dxfId="1030" priority="2968" operator="equal">
      <formula>AS_DEV_EFFORT</formula>
    </cfRule>
  </conditionalFormatting>
  <conditionalFormatting sqref="B336">
    <cfRule type="expression" dxfId="1029" priority="2885">
      <formula>AD336&lt;&gt;""</formula>
    </cfRule>
  </conditionalFormatting>
  <conditionalFormatting sqref="Z336">
    <cfRule type="cellIs" dxfId="1028" priority="2883" operator="greaterThan">
      <formula>0</formula>
    </cfRule>
    <cfRule type="cellIs" dxfId="1027" priority="2884" operator="lessThan">
      <formula>0</formula>
    </cfRule>
  </conditionalFormatting>
  <conditionalFormatting sqref="S336">
    <cfRule type="cellIs" dxfId="1026" priority="2882" operator="lessThan">
      <formula>0</formula>
    </cfRule>
  </conditionalFormatting>
  <conditionalFormatting sqref="T334:T335">
    <cfRule type="expression" dxfId="1025" priority="2886">
      <formula>#REF!="Yes"</formula>
    </cfRule>
  </conditionalFormatting>
  <conditionalFormatting sqref="P336">
    <cfRule type="cellIs" dxfId="1024" priority="2880" operator="equal">
      <formula>AS_DURATION_EFFORT</formula>
    </cfRule>
    <cfRule type="cellIs" dxfId="1023" priority="2881" operator="equal">
      <formula>AS_DEV_EFFORT</formula>
    </cfRule>
  </conditionalFormatting>
  <conditionalFormatting sqref="B334:B335">
    <cfRule type="expression" dxfId="1022" priority="2879">
      <formula>AD334&lt;&gt;""</formula>
    </cfRule>
  </conditionalFormatting>
  <conditionalFormatting sqref="F336">
    <cfRule type="expression" dxfId="1021" priority="2878">
      <formula>$K336&lt;&gt;""</formula>
    </cfRule>
  </conditionalFormatting>
  <conditionalFormatting sqref="C336">
    <cfRule type="expression" dxfId="1020" priority="2877">
      <formula>$G336&lt;&gt;"-"</formula>
    </cfRule>
  </conditionalFormatting>
  <conditionalFormatting sqref="D336">
    <cfRule type="expression" dxfId="1019" priority="2876">
      <formula>$H336&lt;&gt;"-"</formula>
    </cfRule>
  </conditionalFormatting>
  <conditionalFormatting sqref="E336">
    <cfRule type="expression" dxfId="1018" priority="2875">
      <formula>$I336&lt;&gt;"-"</formula>
    </cfRule>
  </conditionalFormatting>
  <conditionalFormatting sqref="B337">
    <cfRule type="expression" dxfId="1017" priority="2872">
      <formula>AD337&lt;&gt;""</formula>
    </cfRule>
  </conditionalFormatting>
  <conditionalFormatting sqref="Z337">
    <cfRule type="cellIs" dxfId="1016" priority="2870" operator="greaterThan">
      <formula>0</formula>
    </cfRule>
    <cfRule type="cellIs" dxfId="1015" priority="2871" operator="lessThan">
      <formula>0</formula>
    </cfRule>
  </conditionalFormatting>
  <conditionalFormatting sqref="S337">
    <cfRule type="cellIs" dxfId="1014" priority="2869" operator="lessThan">
      <formula>0</formula>
    </cfRule>
  </conditionalFormatting>
  <conditionalFormatting sqref="P337">
    <cfRule type="cellIs" dxfId="1013" priority="2867" operator="equal">
      <formula>AS_DURATION_EFFORT</formula>
    </cfRule>
    <cfRule type="cellIs" dxfId="1012" priority="2868" operator="equal">
      <formula>AS_DEV_EFFORT</formula>
    </cfRule>
  </conditionalFormatting>
  <conditionalFormatting sqref="F337">
    <cfRule type="expression" dxfId="1011" priority="2866">
      <formula>$K337&lt;&gt;""</formula>
    </cfRule>
  </conditionalFormatting>
  <conditionalFormatting sqref="C337">
    <cfRule type="expression" dxfId="1010" priority="2865">
      <formula>$G337&lt;&gt;"-"</formula>
    </cfRule>
  </conditionalFormatting>
  <conditionalFormatting sqref="D337">
    <cfRule type="expression" dxfId="1009" priority="2864">
      <formula>$H337&lt;&gt;"-"</formula>
    </cfRule>
  </conditionalFormatting>
  <conditionalFormatting sqref="E337">
    <cfRule type="expression" dxfId="1008" priority="2863">
      <formula>$I337&lt;&gt;"-"</formula>
    </cfRule>
  </conditionalFormatting>
  <conditionalFormatting sqref="B341">
    <cfRule type="expression" dxfId="1007" priority="2859">
      <formula>AD341&lt;&gt;""</formula>
    </cfRule>
  </conditionalFormatting>
  <conditionalFormatting sqref="Z341">
    <cfRule type="cellIs" dxfId="1006" priority="2857" operator="greaterThan">
      <formula>0</formula>
    </cfRule>
    <cfRule type="cellIs" dxfId="1005" priority="2858" operator="lessThan">
      <formula>0</formula>
    </cfRule>
  </conditionalFormatting>
  <conditionalFormatting sqref="S341">
    <cfRule type="cellIs" dxfId="1004" priority="2856" operator="lessThan">
      <formula>0</formula>
    </cfRule>
  </conditionalFormatting>
  <conditionalFormatting sqref="T339:T340">
    <cfRule type="expression" dxfId="1003" priority="2860">
      <formula>#REF!="Yes"</formula>
    </cfRule>
  </conditionalFormatting>
  <conditionalFormatting sqref="P341">
    <cfRule type="cellIs" dxfId="1002" priority="2854" operator="equal">
      <formula>AS_DURATION_EFFORT</formula>
    </cfRule>
    <cfRule type="cellIs" dxfId="1001" priority="2855" operator="equal">
      <formula>AS_DEV_EFFORT</formula>
    </cfRule>
  </conditionalFormatting>
  <conditionalFormatting sqref="B339:B340">
    <cfRule type="expression" dxfId="1000" priority="2853">
      <formula>AD339&lt;&gt;""</formula>
    </cfRule>
  </conditionalFormatting>
  <conditionalFormatting sqref="F341">
    <cfRule type="expression" dxfId="999" priority="2852">
      <formula>$K341&lt;&gt;""</formula>
    </cfRule>
  </conditionalFormatting>
  <conditionalFormatting sqref="C341">
    <cfRule type="expression" dxfId="998" priority="2851">
      <formula>$G341&lt;&gt;"-"</formula>
    </cfRule>
  </conditionalFormatting>
  <conditionalFormatting sqref="D341">
    <cfRule type="expression" dxfId="997" priority="2850">
      <formula>$H341&lt;&gt;"-"</formula>
    </cfRule>
  </conditionalFormatting>
  <conditionalFormatting sqref="E341">
    <cfRule type="expression" dxfId="996" priority="2849">
      <formula>$I341&lt;&gt;"-"</formula>
    </cfRule>
  </conditionalFormatting>
  <conditionalFormatting sqref="B345">
    <cfRule type="expression" dxfId="995" priority="2821">
      <formula>AD345&lt;&gt;""</formula>
    </cfRule>
  </conditionalFormatting>
  <conditionalFormatting sqref="Z345">
    <cfRule type="cellIs" dxfId="994" priority="2819" operator="greaterThan">
      <formula>0</formula>
    </cfRule>
    <cfRule type="cellIs" dxfId="993" priority="2820" operator="lessThan">
      <formula>0</formula>
    </cfRule>
  </conditionalFormatting>
  <conditionalFormatting sqref="S345">
    <cfRule type="cellIs" dxfId="992" priority="2818" operator="lessThan">
      <formula>0</formula>
    </cfRule>
  </conditionalFormatting>
  <conditionalFormatting sqref="T343:T344">
    <cfRule type="expression" dxfId="991" priority="2822">
      <formula>#REF!="Yes"</formula>
    </cfRule>
  </conditionalFormatting>
  <conditionalFormatting sqref="P345">
    <cfRule type="cellIs" dxfId="990" priority="2816" operator="equal">
      <formula>AS_DURATION_EFFORT</formula>
    </cfRule>
    <cfRule type="cellIs" dxfId="989" priority="2817" operator="equal">
      <formula>AS_DEV_EFFORT</formula>
    </cfRule>
  </conditionalFormatting>
  <conditionalFormatting sqref="B343:B344">
    <cfRule type="expression" dxfId="988" priority="2815">
      <formula>AD343&lt;&gt;""</formula>
    </cfRule>
  </conditionalFormatting>
  <conditionalFormatting sqref="F345">
    <cfRule type="expression" dxfId="987" priority="2814">
      <formula>$K345&lt;&gt;""</formula>
    </cfRule>
  </conditionalFormatting>
  <conditionalFormatting sqref="C345">
    <cfRule type="expression" dxfId="986" priority="2813">
      <formula>$G345&lt;&gt;"-"</formula>
    </cfRule>
  </conditionalFormatting>
  <conditionalFormatting sqref="D345">
    <cfRule type="expression" dxfId="985" priority="2812">
      <formula>$H345&lt;&gt;"-"</formula>
    </cfRule>
  </conditionalFormatting>
  <conditionalFormatting sqref="E345">
    <cfRule type="expression" dxfId="984" priority="2811">
      <formula>$I345&lt;&gt;"-"</formula>
    </cfRule>
  </conditionalFormatting>
  <conditionalFormatting sqref="B349">
    <cfRule type="expression" dxfId="983" priority="2795">
      <formula>AD349&lt;&gt;""</formula>
    </cfRule>
  </conditionalFormatting>
  <conditionalFormatting sqref="Z349">
    <cfRule type="cellIs" dxfId="982" priority="2793" operator="greaterThan">
      <formula>0</formula>
    </cfRule>
    <cfRule type="cellIs" dxfId="981" priority="2794" operator="lessThan">
      <formula>0</formula>
    </cfRule>
  </conditionalFormatting>
  <conditionalFormatting sqref="S349">
    <cfRule type="cellIs" dxfId="980" priority="2792" operator="lessThan">
      <formula>0</formula>
    </cfRule>
  </conditionalFormatting>
  <conditionalFormatting sqref="T347:T348">
    <cfRule type="expression" dxfId="979" priority="2796">
      <formula>#REF!="Yes"</formula>
    </cfRule>
  </conditionalFormatting>
  <conditionalFormatting sqref="P349">
    <cfRule type="cellIs" dxfId="978" priority="2790" operator="equal">
      <formula>AS_DURATION_EFFORT</formula>
    </cfRule>
    <cfRule type="cellIs" dxfId="977" priority="2791" operator="equal">
      <formula>AS_DEV_EFFORT</formula>
    </cfRule>
  </conditionalFormatting>
  <conditionalFormatting sqref="B347:B348">
    <cfRule type="expression" dxfId="976" priority="2789">
      <formula>AD347&lt;&gt;""</formula>
    </cfRule>
  </conditionalFormatting>
  <conditionalFormatting sqref="F349">
    <cfRule type="expression" dxfId="975" priority="2788">
      <formula>$K349&lt;&gt;""</formula>
    </cfRule>
  </conditionalFormatting>
  <conditionalFormatting sqref="C349">
    <cfRule type="expression" dxfId="974" priority="2787">
      <formula>$G349&lt;&gt;"-"</formula>
    </cfRule>
  </conditionalFormatting>
  <conditionalFormatting sqref="D349">
    <cfRule type="expression" dxfId="973" priority="2786">
      <formula>$H349&lt;&gt;"-"</formula>
    </cfRule>
  </conditionalFormatting>
  <conditionalFormatting sqref="E349">
    <cfRule type="expression" dxfId="972" priority="2785">
      <formula>$I349&lt;&gt;"-"</formula>
    </cfRule>
  </conditionalFormatting>
  <conditionalFormatting sqref="B352">
    <cfRule type="expression" dxfId="971" priority="2782">
      <formula>AD352&lt;&gt;""</formula>
    </cfRule>
  </conditionalFormatting>
  <conditionalFormatting sqref="Z352">
    <cfRule type="cellIs" dxfId="970" priority="2780" operator="greaterThan">
      <formula>0</formula>
    </cfRule>
    <cfRule type="cellIs" dxfId="969" priority="2781" operator="lessThan">
      <formula>0</formula>
    </cfRule>
  </conditionalFormatting>
  <conditionalFormatting sqref="S352">
    <cfRule type="cellIs" dxfId="968" priority="2779" operator="lessThan">
      <formula>0</formula>
    </cfRule>
  </conditionalFormatting>
  <conditionalFormatting sqref="P352">
    <cfRule type="cellIs" dxfId="967" priority="2777" operator="equal">
      <formula>AS_DURATION_EFFORT</formula>
    </cfRule>
    <cfRule type="cellIs" dxfId="966" priority="2778" operator="equal">
      <formula>AS_DEV_EFFORT</formula>
    </cfRule>
  </conditionalFormatting>
  <conditionalFormatting sqref="F352">
    <cfRule type="expression" dxfId="965" priority="2776">
      <formula>$K352&lt;&gt;""</formula>
    </cfRule>
  </conditionalFormatting>
  <conditionalFormatting sqref="C352">
    <cfRule type="expression" dxfId="964" priority="2775">
      <formula>$G352&lt;&gt;"-"</formula>
    </cfRule>
  </conditionalFormatting>
  <conditionalFormatting sqref="D352">
    <cfRule type="expression" dxfId="963" priority="2774">
      <formula>$H352&lt;&gt;"-"</formula>
    </cfRule>
  </conditionalFormatting>
  <conditionalFormatting sqref="E352">
    <cfRule type="expression" dxfId="962" priority="2773">
      <formula>$I352&lt;&gt;"-"</formula>
    </cfRule>
  </conditionalFormatting>
  <conditionalFormatting sqref="B351">
    <cfRule type="expression" dxfId="961" priority="2770">
      <formula>AD351&lt;&gt;""</formula>
    </cfRule>
  </conditionalFormatting>
  <conditionalFormatting sqref="Z351">
    <cfRule type="cellIs" dxfId="960" priority="2768" operator="greaterThan">
      <formula>0</formula>
    </cfRule>
    <cfRule type="cellIs" dxfId="959" priority="2769" operator="lessThan">
      <formula>0</formula>
    </cfRule>
  </conditionalFormatting>
  <conditionalFormatting sqref="S351">
    <cfRule type="cellIs" dxfId="958" priority="2767" operator="lessThan">
      <formula>0</formula>
    </cfRule>
  </conditionalFormatting>
  <conditionalFormatting sqref="P351">
    <cfRule type="cellIs" dxfId="957" priority="2765" operator="equal">
      <formula>AS_DURATION_EFFORT</formula>
    </cfRule>
    <cfRule type="cellIs" dxfId="956" priority="2766" operator="equal">
      <formula>AS_DEV_EFFORT</formula>
    </cfRule>
  </conditionalFormatting>
  <conditionalFormatting sqref="F351">
    <cfRule type="expression" dxfId="955" priority="2764">
      <formula>$K351&lt;&gt;""</formula>
    </cfRule>
  </conditionalFormatting>
  <conditionalFormatting sqref="C351">
    <cfRule type="expression" dxfId="954" priority="2763">
      <formula>$G351&lt;&gt;"-"</formula>
    </cfRule>
  </conditionalFormatting>
  <conditionalFormatting sqref="D351">
    <cfRule type="expression" dxfId="953" priority="2762">
      <formula>$H351&lt;&gt;"-"</formula>
    </cfRule>
  </conditionalFormatting>
  <conditionalFormatting sqref="E351">
    <cfRule type="expression" dxfId="952" priority="2761">
      <formula>$I351&lt;&gt;"-"</formula>
    </cfRule>
  </conditionalFormatting>
  <conditionalFormatting sqref="B350">
    <cfRule type="expression" dxfId="951" priority="2758">
      <formula>AD350&lt;&gt;""</formula>
    </cfRule>
  </conditionalFormatting>
  <conditionalFormatting sqref="Z350">
    <cfRule type="cellIs" dxfId="950" priority="2756" operator="greaterThan">
      <formula>0</formula>
    </cfRule>
    <cfRule type="cellIs" dxfId="949" priority="2757" operator="lessThan">
      <formula>0</formula>
    </cfRule>
  </conditionalFormatting>
  <conditionalFormatting sqref="S350">
    <cfRule type="cellIs" dxfId="948" priority="2755" operator="lessThan">
      <formula>0</formula>
    </cfRule>
  </conditionalFormatting>
  <conditionalFormatting sqref="P350">
    <cfRule type="cellIs" dxfId="947" priority="2753" operator="equal">
      <formula>AS_DURATION_EFFORT</formula>
    </cfRule>
    <cfRule type="cellIs" dxfId="946" priority="2754" operator="equal">
      <formula>AS_DEV_EFFORT</formula>
    </cfRule>
  </conditionalFormatting>
  <conditionalFormatting sqref="F350">
    <cfRule type="expression" dxfId="945" priority="2752">
      <formula>$K350&lt;&gt;""</formula>
    </cfRule>
  </conditionalFormatting>
  <conditionalFormatting sqref="C350">
    <cfRule type="expression" dxfId="944" priority="2751">
      <formula>$G350&lt;&gt;"-"</formula>
    </cfRule>
  </conditionalFormatting>
  <conditionalFormatting sqref="D350">
    <cfRule type="expression" dxfId="943" priority="2750">
      <formula>$H350&lt;&gt;"-"</formula>
    </cfRule>
  </conditionalFormatting>
  <conditionalFormatting sqref="E350">
    <cfRule type="expression" dxfId="942" priority="2749">
      <formula>$I350&lt;&gt;"-"</formula>
    </cfRule>
  </conditionalFormatting>
  <conditionalFormatting sqref="B359">
    <cfRule type="expression" dxfId="941" priority="2739">
      <formula>AD359&lt;&gt;""</formula>
    </cfRule>
  </conditionalFormatting>
  <conditionalFormatting sqref="Z359">
    <cfRule type="cellIs" dxfId="940" priority="2737" operator="greaterThan">
      <formula>0</formula>
    </cfRule>
    <cfRule type="cellIs" dxfId="939" priority="2738" operator="lessThan">
      <formula>0</formula>
    </cfRule>
  </conditionalFormatting>
  <conditionalFormatting sqref="S359">
    <cfRule type="cellIs" dxfId="938" priority="2736" operator="lessThan">
      <formula>0</formula>
    </cfRule>
  </conditionalFormatting>
  <conditionalFormatting sqref="T357:T358">
    <cfRule type="expression" dxfId="937" priority="2740">
      <formula>#REF!="Yes"</formula>
    </cfRule>
  </conditionalFormatting>
  <conditionalFormatting sqref="P359">
    <cfRule type="cellIs" dxfId="936" priority="2734" operator="equal">
      <formula>AS_DURATION_EFFORT</formula>
    </cfRule>
    <cfRule type="cellIs" dxfId="935" priority="2735" operator="equal">
      <formula>AS_DEV_EFFORT</formula>
    </cfRule>
  </conditionalFormatting>
  <conditionalFormatting sqref="B357:B358">
    <cfRule type="expression" dxfId="934" priority="2733">
      <formula>AD357&lt;&gt;""</formula>
    </cfRule>
  </conditionalFormatting>
  <conditionalFormatting sqref="F359">
    <cfRule type="expression" dxfId="933" priority="2732">
      <formula>$K359&lt;&gt;""</formula>
    </cfRule>
  </conditionalFormatting>
  <conditionalFormatting sqref="C359">
    <cfRule type="expression" dxfId="932" priority="2731">
      <formula>$G359&lt;&gt;"-"</formula>
    </cfRule>
  </conditionalFormatting>
  <conditionalFormatting sqref="D359">
    <cfRule type="expression" dxfId="931" priority="2730">
      <formula>$H359&lt;&gt;"-"</formula>
    </cfRule>
  </conditionalFormatting>
  <conditionalFormatting sqref="E359">
    <cfRule type="expression" dxfId="930" priority="2729">
      <formula>$I359&lt;&gt;"-"</formula>
    </cfRule>
  </conditionalFormatting>
  <conditionalFormatting sqref="B18">
    <cfRule type="expression" dxfId="929" priority="1786">
      <formula>AD18&lt;&gt;""</formula>
    </cfRule>
  </conditionalFormatting>
  <conditionalFormatting sqref="Z18">
    <cfRule type="cellIs" dxfId="928" priority="1784" operator="greaterThan">
      <formula>0</formula>
    </cfRule>
    <cfRule type="cellIs" dxfId="927" priority="1785" operator="lessThan">
      <formula>0</formula>
    </cfRule>
  </conditionalFormatting>
  <conditionalFormatting sqref="S18">
    <cfRule type="cellIs" dxfId="926" priority="1783" operator="lessThan">
      <formula>0</formula>
    </cfRule>
  </conditionalFormatting>
  <conditionalFormatting sqref="L18:M18 O18 R18:AC18">
    <cfRule type="expression" dxfId="925" priority="1787">
      <formula>AND($G18="Yes", $S$6="Exclude")</formula>
    </cfRule>
    <cfRule type="expression" dxfId="924" priority="1788">
      <formula>$J18="Yes"</formula>
    </cfRule>
  </conditionalFormatting>
  <conditionalFormatting sqref="F18">
    <cfRule type="expression" dxfId="923" priority="1780">
      <formula>$K18&lt;&gt;""</formula>
    </cfRule>
  </conditionalFormatting>
  <conditionalFormatting sqref="C18">
    <cfRule type="expression" dxfId="922" priority="1779">
      <formula>$G18&lt;&gt;"-"</formula>
    </cfRule>
  </conditionalFormatting>
  <conditionalFormatting sqref="D18">
    <cfRule type="expression" dxfId="921" priority="1778">
      <formula>$H18&lt;&gt;"-"</formula>
    </cfRule>
  </conditionalFormatting>
  <conditionalFormatting sqref="E18">
    <cfRule type="expression" dxfId="920" priority="1777">
      <formula>$I18&lt;&gt;"-"</formula>
    </cfRule>
  </conditionalFormatting>
  <conditionalFormatting sqref="B28">
    <cfRule type="expression" dxfId="919" priority="1773">
      <formula>AD28&lt;&gt;""</formula>
    </cfRule>
  </conditionalFormatting>
  <conditionalFormatting sqref="Z28">
    <cfRule type="cellIs" dxfId="918" priority="1771" operator="greaterThan">
      <formula>0</formula>
    </cfRule>
    <cfRule type="cellIs" dxfId="917" priority="1772" operator="lessThan">
      <formula>0</formula>
    </cfRule>
  </conditionalFormatting>
  <conditionalFormatting sqref="S28">
    <cfRule type="cellIs" dxfId="916" priority="1770" operator="lessThan">
      <formula>0</formula>
    </cfRule>
  </conditionalFormatting>
  <conditionalFormatting sqref="T26:T27">
    <cfRule type="expression" dxfId="915" priority="1774">
      <formula>#REF!="Yes"</formula>
    </cfRule>
  </conditionalFormatting>
  <conditionalFormatting sqref="P28">
    <cfRule type="cellIs" dxfId="914" priority="1768" operator="equal">
      <formula>AS_DURATION_EFFORT</formula>
    </cfRule>
    <cfRule type="cellIs" dxfId="913" priority="1769" operator="equal">
      <formula>AS_DEV_EFFORT</formula>
    </cfRule>
  </conditionalFormatting>
  <conditionalFormatting sqref="B26:B27">
    <cfRule type="expression" dxfId="912" priority="1767">
      <formula>AD26&lt;&gt;""</formula>
    </cfRule>
  </conditionalFormatting>
  <conditionalFormatting sqref="F28">
    <cfRule type="expression" dxfId="911" priority="1766">
      <formula>$K28&lt;&gt;""</formula>
    </cfRule>
  </conditionalFormatting>
  <conditionalFormatting sqref="C28">
    <cfRule type="expression" dxfId="910" priority="1765">
      <formula>$G28&lt;&gt;"-"</formula>
    </cfRule>
  </conditionalFormatting>
  <conditionalFormatting sqref="D28">
    <cfRule type="expression" dxfId="909" priority="1764">
      <formula>$H28&lt;&gt;"-"</formula>
    </cfRule>
  </conditionalFormatting>
  <conditionalFormatting sqref="E28">
    <cfRule type="expression" dxfId="908" priority="1763">
      <formula>$I28&lt;&gt;"-"</formula>
    </cfRule>
  </conditionalFormatting>
  <conditionalFormatting sqref="B35">
    <cfRule type="expression" dxfId="907" priority="1759">
      <formula>AD35&lt;&gt;""</formula>
    </cfRule>
  </conditionalFormatting>
  <conditionalFormatting sqref="Z35">
    <cfRule type="cellIs" dxfId="906" priority="1757" operator="greaterThan">
      <formula>0</formula>
    </cfRule>
    <cfRule type="cellIs" dxfId="905" priority="1758" operator="lessThan">
      <formula>0</formula>
    </cfRule>
  </conditionalFormatting>
  <conditionalFormatting sqref="S35">
    <cfRule type="cellIs" dxfId="904" priority="1756" operator="lessThan">
      <formula>0</formula>
    </cfRule>
  </conditionalFormatting>
  <conditionalFormatting sqref="T33:T34">
    <cfRule type="expression" dxfId="903" priority="1760">
      <formula>#REF!="Yes"</formula>
    </cfRule>
  </conditionalFormatting>
  <conditionalFormatting sqref="P35">
    <cfRule type="cellIs" dxfId="902" priority="1754" operator="equal">
      <formula>AS_DURATION_EFFORT</formula>
    </cfRule>
    <cfRule type="cellIs" dxfId="901" priority="1755" operator="equal">
      <formula>AS_DEV_EFFORT</formula>
    </cfRule>
  </conditionalFormatting>
  <conditionalFormatting sqref="B33:B34">
    <cfRule type="expression" dxfId="900" priority="1753">
      <formula>AD33&lt;&gt;""</formula>
    </cfRule>
  </conditionalFormatting>
  <conditionalFormatting sqref="F35">
    <cfRule type="expression" dxfId="899" priority="1752">
      <formula>$K35&lt;&gt;""</formula>
    </cfRule>
  </conditionalFormatting>
  <conditionalFormatting sqref="C35">
    <cfRule type="expression" dxfId="898" priority="1751">
      <formula>$G35&lt;&gt;"-"</formula>
    </cfRule>
  </conditionalFormatting>
  <conditionalFormatting sqref="D35">
    <cfRule type="expression" dxfId="897" priority="1750">
      <formula>$H35&lt;&gt;"-"</formula>
    </cfRule>
  </conditionalFormatting>
  <conditionalFormatting sqref="E35">
    <cfRule type="expression" dxfId="896" priority="1749">
      <formula>$I35&lt;&gt;"-"</formula>
    </cfRule>
  </conditionalFormatting>
  <conditionalFormatting sqref="B43">
    <cfRule type="expression" dxfId="895" priority="1745">
      <formula>AD43&lt;&gt;""</formula>
    </cfRule>
  </conditionalFormatting>
  <conditionalFormatting sqref="Z43">
    <cfRule type="cellIs" dxfId="894" priority="1743" operator="greaterThan">
      <formula>0</formula>
    </cfRule>
    <cfRule type="cellIs" dxfId="893" priority="1744" operator="lessThan">
      <formula>0</formula>
    </cfRule>
  </conditionalFormatting>
  <conditionalFormatting sqref="S43">
    <cfRule type="cellIs" dxfId="892" priority="1742" operator="lessThan">
      <formula>0</formula>
    </cfRule>
  </conditionalFormatting>
  <conditionalFormatting sqref="T41:T42">
    <cfRule type="expression" dxfId="891" priority="1746">
      <formula>#REF!="Yes"</formula>
    </cfRule>
  </conditionalFormatting>
  <conditionalFormatting sqref="P43">
    <cfRule type="cellIs" dxfId="890" priority="1549" operator="equal">
      <formula>AS_DURATION_EFFORT</formula>
    </cfRule>
    <cfRule type="cellIs" dxfId="889" priority="1550" operator="equal">
      <formula>AS_DEV_EFFORT</formula>
    </cfRule>
    <cfRule type="cellIs" dxfId="888" priority="1740" operator="equal">
      <formula>AS_DURATION_EFFORT</formula>
    </cfRule>
    <cfRule type="cellIs" dxfId="887" priority="1741" operator="equal">
      <formula>AS_DEV_EFFORT</formula>
    </cfRule>
  </conditionalFormatting>
  <conditionalFormatting sqref="B41:B42">
    <cfRule type="expression" dxfId="886" priority="1739">
      <formula>AD41&lt;&gt;""</formula>
    </cfRule>
  </conditionalFormatting>
  <conditionalFormatting sqref="F43">
    <cfRule type="expression" dxfId="885" priority="1738">
      <formula>$K43&lt;&gt;""</formula>
    </cfRule>
  </conditionalFormatting>
  <conditionalFormatting sqref="C43">
    <cfRule type="expression" dxfId="884" priority="1737">
      <formula>$G43&lt;&gt;"-"</formula>
    </cfRule>
  </conditionalFormatting>
  <conditionalFormatting sqref="D43">
    <cfRule type="expression" dxfId="883" priority="1736">
      <formula>$H43&lt;&gt;"-"</formula>
    </cfRule>
  </conditionalFormatting>
  <conditionalFormatting sqref="E43">
    <cfRule type="expression" dxfId="882" priority="1735">
      <formula>$I43&lt;&gt;"-"</formula>
    </cfRule>
  </conditionalFormatting>
  <conditionalFormatting sqref="B49">
    <cfRule type="expression" dxfId="881" priority="1717">
      <formula>AD49&lt;&gt;""</formula>
    </cfRule>
  </conditionalFormatting>
  <conditionalFormatting sqref="Z49">
    <cfRule type="cellIs" dxfId="880" priority="1715" operator="greaterThan">
      <formula>0</formula>
    </cfRule>
    <cfRule type="cellIs" dxfId="879" priority="1716" operator="lessThan">
      <formula>0</formula>
    </cfRule>
  </conditionalFormatting>
  <conditionalFormatting sqref="S49">
    <cfRule type="cellIs" dxfId="878" priority="1714" operator="lessThan">
      <formula>0</formula>
    </cfRule>
  </conditionalFormatting>
  <conditionalFormatting sqref="T47:T48">
    <cfRule type="expression" dxfId="877" priority="1718">
      <formula>#REF!="Yes"</formula>
    </cfRule>
  </conditionalFormatting>
  <conditionalFormatting sqref="P49">
    <cfRule type="cellIs" dxfId="876" priority="1712" operator="equal">
      <formula>AS_DURATION_EFFORT</formula>
    </cfRule>
    <cfRule type="cellIs" dxfId="875" priority="1713" operator="equal">
      <formula>AS_DEV_EFFORT</formula>
    </cfRule>
  </conditionalFormatting>
  <conditionalFormatting sqref="B47:B48">
    <cfRule type="expression" dxfId="874" priority="1711">
      <formula>AD47&lt;&gt;""</formula>
    </cfRule>
  </conditionalFormatting>
  <conditionalFormatting sqref="F49">
    <cfRule type="expression" dxfId="873" priority="1710">
      <formula>$K49&lt;&gt;""</formula>
    </cfRule>
  </conditionalFormatting>
  <conditionalFormatting sqref="C49">
    <cfRule type="expression" dxfId="872" priority="1709">
      <formula>$G49&lt;&gt;"-"</formula>
    </cfRule>
  </conditionalFormatting>
  <conditionalFormatting sqref="D49">
    <cfRule type="expression" dxfId="871" priority="1708">
      <formula>$H49&lt;&gt;"-"</formula>
    </cfRule>
  </conditionalFormatting>
  <conditionalFormatting sqref="E49">
    <cfRule type="expression" dxfId="870" priority="1707">
      <formula>$I49&lt;&gt;"-"</formula>
    </cfRule>
  </conditionalFormatting>
  <conditionalFormatting sqref="N18">
    <cfRule type="expression" dxfId="869" priority="1705">
      <formula>AND($G18="Yes", $S$6="Exclude")</formula>
    </cfRule>
    <cfRule type="expression" dxfId="868" priority="1706">
      <formula>$J18="Yes"</formula>
    </cfRule>
  </conditionalFormatting>
  <conditionalFormatting sqref="P18">
    <cfRule type="cellIs" dxfId="867" priority="1701" operator="equal">
      <formula>AS_DURATION_EFFORT</formula>
    </cfRule>
    <cfRule type="cellIs" dxfId="866" priority="1702" operator="equal">
      <formula>AS_DEV_EFFORT</formula>
    </cfRule>
  </conditionalFormatting>
  <conditionalFormatting sqref="P18:Q18">
    <cfRule type="expression" dxfId="865" priority="1703">
      <formula>AND($G18="Yes", $S$6="Exclude")</formula>
    </cfRule>
    <cfRule type="expression" dxfId="864" priority="1704">
      <formula>$J18="Yes"</formula>
    </cfRule>
  </conditionalFormatting>
  <conditionalFormatting sqref="B22">
    <cfRule type="expression" dxfId="863" priority="1698">
      <formula>AD22&lt;&gt;""</formula>
    </cfRule>
  </conditionalFormatting>
  <conditionalFormatting sqref="Z22">
    <cfRule type="cellIs" dxfId="862" priority="1696" operator="greaterThan">
      <formula>0</formula>
    </cfRule>
    <cfRule type="cellIs" dxfId="861" priority="1697" operator="lessThan">
      <formula>0</formula>
    </cfRule>
  </conditionalFormatting>
  <conditionalFormatting sqref="S22">
    <cfRule type="cellIs" dxfId="860" priority="1695" operator="lessThan">
      <formula>0</formula>
    </cfRule>
  </conditionalFormatting>
  <conditionalFormatting sqref="P22">
    <cfRule type="cellIs" dxfId="859" priority="1693" operator="equal">
      <formula>AS_DURATION_EFFORT</formula>
    </cfRule>
    <cfRule type="cellIs" dxfId="858" priority="1694" operator="equal">
      <formula>AS_DEV_EFFORT</formula>
    </cfRule>
  </conditionalFormatting>
  <conditionalFormatting sqref="L22:M22 O22:AC22">
    <cfRule type="expression" dxfId="857" priority="1699">
      <formula>AND($G22="Yes", $S$6="Exclude")</formula>
    </cfRule>
    <cfRule type="expression" dxfId="856" priority="1700">
      <formula>$J22="Yes"</formula>
    </cfRule>
  </conditionalFormatting>
  <conditionalFormatting sqref="F22">
    <cfRule type="expression" dxfId="855" priority="1692">
      <formula>$K22&lt;&gt;""</formula>
    </cfRule>
  </conditionalFormatting>
  <conditionalFormatting sqref="C22">
    <cfRule type="expression" dxfId="854" priority="1691">
      <formula>$G22&lt;&gt;"-"</formula>
    </cfRule>
  </conditionalFormatting>
  <conditionalFormatting sqref="D22">
    <cfRule type="expression" dxfId="853" priority="1690">
      <formula>$H22&lt;&gt;"-"</formula>
    </cfRule>
  </conditionalFormatting>
  <conditionalFormatting sqref="E22">
    <cfRule type="expression" dxfId="852" priority="1689">
      <formula>$I22&lt;&gt;"-"</formula>
    </cfRule>
  </conditionalFormatting>
  <conditionalFormatting sqref="N22">
    <cfRule type="expression" dxfId="851" priority="1687">
      <formula>AND($G22="Yes", $S$6="Exclude")</formula>
    </cfRule>
    <cfRule type="expression" dxfId="850" priority="1688">
      <formula>$J22="Yes"</formula>
    </cfRule>
  </conditionalFormatting>
  <conditionalFormatting sqref="B31">
    <cfRule type="expression" dxfId="849" priority="1684">
      <formula>AD31&lt;&gt;""</formula>
    </cfRule>
  </conditionalFormatting>
  <conditionalFormatting sqref="Z31">
    <cfRule type="cellIs" dxfId="848" priority="1682" operator="greaterThan">
      <formula>0</formula>
    </cfRule>
    <cfRule type="cellIs" dxfId="847" priority="1683" operator="lessThan">
      <formula>0</formula>
    </cfRule>
  </conditionalFormatting>
  <conditionalFormatting sqref="S31">
    <cfRule type="cellIs" dxfId="846" priority="1681" operator="lessThan">
      <formula>0</formula>
    </cfRule>
  </conditionalFormatting>
  <conditionalFormatting sqref="P31">
    <cfRule type="cellIs" dxfId="845" priority="1679" operator="equal">
      <formula>AS_DURATION_EFFORT</formula>
    </cfRule>
    <cfRule type="cellIs" dxfId="844" priority="1680" operator="equal">
      <formula>AS_DEV_EFFORT</formula>
    </cfRule>
  </conditionalFormatting>
  <conditionalFormatting sqref="L31:M31 O31:AC31">
    <cfRule type="expression" dxfId="843" priority="1685">
      <formula>AND($G31="Yes", $S$6="Exclude")</formula>
    </cfRule>
    <cfRule type="expression" dxfId="842" priority="1686">
      <formula>$J31="Yes"</formula>
    </cfRule>
  </conditionalFormatting>
  <conditionalFormatting sqref="F31">
    <cfRule type="expression" dxfId="841" priority="1678">
      <formula>$K31&lt;&gt;""</formula>
    </cfRule>
  </conditionalFormatting>
  <conditionalFormatting sqref="C31">
    <cfRule type="expression" dxfId="840" priority="1677">
      <formula>$G31&lt;&gt;"-"</formula>
    </cfRule>
  </conditionalFormatting>
  <conditionalFormatting sqref="D31">
    <cfRule type="expression" dxfId="839" priority="1676">
      <formula>$H31&lt;&gt;"-"</formula>
    </cfRule>
  </conditionalFormatting>
  <conditionalFormatting sqref="E31">
    <cfRule type="expression" dxfId="838" priority="1675">
      <formula>$I31&lt;&gt;"-"</formula>
    </cfRule>
  </conditionalFormatting>
  <conditionalFormatting sqref="B30">
    <cfRule type="expression" dxfId="837" priority="1672">
      <formula>AD30&lt;&gt;""</formula>
    </cfRule>
  </conditionalFormatting>
  <conditionalFormatting sqref="Z30">
    <cfRule type="cellIs" dxfId="836" priority="1670" operator="greaterThan">
      <formula>0</formula>
    </cfRule>
    <cfRule type="cellIs" dxfId="835" priority="1671" operator="lessThan">
      <formula>0</formula>
    </cfRule>
  </conditionalFormatting>
  <conditionalFormatting sqref="S30">
    <cfRule type="cellIs" dxfId="834" priority="1669" operator="lessThan">
      <formula>0</formula>
    </cfRule>
  </conditionalFormatting>
  <conditionalFormatting sqref="P30">
    <cfRule type="cellIs" dxfId="833" priority="1667" operator="equal">
      <formula>AS_DURATION_EFFORT</formula>
    </cfRule>
    <cfRule type="cellIs" dxfId="832" priority="1668" operator="equal">
      <formula>AS_DEV_EFFORT</formula>
    </cfRule>
  </conditionalFormatting>
  <conditionalFormatting sqref="L30:M30 P30:AC30">
    <cfRule type="expression" dxfId="831" priority="1673">
      <formula>AND($G30="Yes", $S$6="Exclude")</formula>
    </cfRule>
    <cfRule type="expression" dxfId="830" priority="1674">
      <formula>$J30="Yes"</formula>
    </cfRule>
  </conditionalFormatting>
  <conditionalFormatting sqref="F30">
    <cfRule type="expression" dxfId="829" priority="1666">
      <formula>$K30&lt;&gt;""</formula>
    </cfRule>
  </conditionalFormatting>
  <conditionalFormatting sqref="C30">
    <cfRule type="expression" dxfId="828" priority="1665">
      <formula>$G30&lt;&gt;"-"</formula>
    </cfRule>
  </conditionalFormatting>
  <conditionalFormatting sqref="D30">
    <cfRule type="expression" dxfId="827" priority="1664">
      <formula>$H30&lt;&gt;"-"</formula>
    </cfRule>
  </conditionalFormatting>
  <conditionalFormatting sqref="E30">
    <cfRule type="expression" dxfId="826" priority="1663">
      <formula>$I30&lt;&gt;"-"</formula>
    </cfRule>
  </conditionalFormatting>
  <conditionalFormatting sqref="B29">
    <cfRule type="expression" dxfId="825" priority="1660">
      <formula>AD29&lt;&gt;""</formula>
    </cfRule>
  </conditionalFormatting>
  <conditionalFormatting sqref="Z29">
    <cfRule type="cellIs" dxfId="824" priority="1658" operator="greaterThan">
      <formula>0</formula>
    </cfRule>
    <cfRule type="cellIs" dxfId="823" priority="1659" operator="lessThan">
      <formula>0</formula>
    </cfRule>
  </conditionalFormatting>
  <conditionalFormatting sqref="S29">
    <cfRule type="cellIs" dxfId="822" priority="1657" operator="lessThan">
      <formula>0</formula>
    </cfRule>
  </conditionalFormatting>
  <conditionalFormatting sqref="P29">
    <cfRule type="cellIs" dxfId="821" priority="1655" operator="equal">
      <formula>AS_DURATION_EFFORT</formula>
    </cfRule>
    <cfRule type="cellIs" dxfId="820" priority="1656" operator="equal">
      <formula>AS_DEV_EFFORT</formula>
    </cfRule>
  </conditionalFormatting>
  <conditionalFormatting sqref="L29:M29 P29:AC29">
    <cfRule type="expression" dxfId="819" priority="1661">
      <formula>AND($G29="Yes", $S$6="Exclude")</formula>
    </cfRule>
    <cfRule type="expression" dxfId="818" priority="1662">
      <formula>$J29="Yes"</formula>
    </cfRule>
  </conditionalFormatting>
  <conditionalFormatting sqref="F29">
    <cfRule type="expression" dxfId="817" priority="1654">
      <formula>$K29&lt;&gt;""</formula>
    </cfRule>
  </conditionalFormatting>
  <conditionalFormatting sqref="C29">
    <cfRule type="expression" dxfId="816" priority="1653">
      <formula>$G29&lt;&gt;"-"</formula>
    </cfRule>
  </conditionalFormatting>
  <conditionalFormatting sqref="D29">
    <cfRule type="expression" dxfId="815" priority="1652">
      <formula>$H29&lt;&gt;"-"</formula>
    </cfRule>
  </conditionalFormatting>
  <conditionalFormatting sqref="E29">
    <cfRule type="expression" dxfId="814" priority="1651">
      <formula>$I29&lt;&gt;"-"</formula>
    </cfRule>
  </conditionalFormatting>
  <conditionalFormatting sqref="N30:N31">
    <cfRule type="expression" dxfId="813" priority="1649">
      <formula>AND($G30="Yes", $S$6="Exclude")</formula>
    </cfRule>
    <cfRule type="expression" dxfId="812" priority="1650">
      <formula>$J30="Yes"</formula>
    </cfRule>
  </conditionalFormatting>
  <conditionalFormatting sqref="N28">
    <cfRule type="expression" dxfId="811" priority="1647">
      <formula>AND($G28="Yes", $S$6="Exclude")</formula>
    </cfRule>
    <cfRule type="expression" dxfId="810" priority="1648">
      <formula>$J28="Yes"</formula>
    </cfRule>
  </conditionalFormatting>
  <conditionalFormatting sqref="N29">
    <cfRule type="expression" dxfId="809" priority="1645">
      <formula>AND($G29="Yes", $S$6="Exclude")</formula>
    </cfRule>
    <cfRule type="expression" dxfId="808" priority="1646">
      <formula>$J29="Yes"</formula>
    </cfRule>
  </conditionalFormatting>
  <conditionalFormatting sqref="O30">
    <cfRule type="expression" dxfId="807" priority="1643">
      <formula>AND($G30="Yes", $S$6="Exclude")</formula>
    </cfRule>
    <cfRule type="expression" dxfId="806" priority="1644">
      <formula>$J30="Yes"</formula>
    </cfRule>
  </conditionalFormatting>
  <conditionalFormatting sqref="O29">
    <cfRule type="expression" dxfId="805" priority="1641">
      <formula>AND($G29="Yes", $S$6="Exclude")</formula>
    </cfRule>
    <cfRule type="expression" dxfId="804" priority="1642">
      <formula>$J29="Yes"</formula>
    </cfRule>
  </conditionalFormatting>
  <conditionalFormatting sqref="B39">
    <cfRule type="expression" dxfId="803" priority="1638">
      <formula>AD39&lt;&gt;""</formula>
    </cfRule>
  </conditionalFormatting>
  <conditionalFormatting sqref="Z39">
    <cfRule type="cellIs" dxfId="802" priority="1636" operator="greaterThan">
      <formula>0</formula>
    </cfRule>
    <cfRule type="cellIs" dxfId="801" priority="1637" operator="lessThan">
      <formula>0</formula>
    </cfRule>
  </conditionalFormatting>
  <conditionalFormatting sqref="S39">
    <cfRule type="cellIs" dxfId="800" priority="1635" operator="lessThan">
      <formula>0</formula>
    </cfRule>
  </conditionalFormatting>
  <conditionalFormatting sqref="P39">
    <cfRule type="cellIs" dxfId="799" priority="1633" operator="equal">
      <formula>AS_DURATION_EFFORT</formula>
    </cfRule>
    <cfRule type="cellIs" dxfId="798" priority="1634" operator="equal">
      <formula>AS_DEV_EFFORT</formula>
    </cfRule>
  </conditionalFormatting>
  <conditionalFormatting sqref="L39:M39 O39:AC39">
    <cfRule type="expression" dxfId="797" priority="1639">
      <formula>AND($G39="Yes", $S$6="Exclude")</formula>
    </cfRule>
    <cfRule type="expression" dxfId="796" priority="1640">
      <formula>$J39="Yes"</formula>
    </cfRule>
  </conditionalFormatting>
  <conditionalFormatting sqref="F39">
    <cfRule type="expression" dxfId="795" priority="1632">
      <formula>$K39&lt;&gt;""</formula>
    </cfRule>
  </conditionalFormatting>
  <conditionalFormatting sqref="C39">
    <cfRule type="expression" dxfId="794" priority="1631">
      <formula>$G39&lt;&gt;"-"</formula>
    </cfRule>
  </conditionalFormatting>
  <conditionalFormatting sqref="D39">
    <cfRule type="expression" dxfId="793" priority="1630">
      <formula>$H39&lt;&gt;"-"</formula>
    </cfRule>
  </conditionalFormatting>
  <conditionalFormatting sqref="E39">
    <cfRule type="expression" dxfId="792" priority="1629">
      <formula>$I39&lt;&gt;"-"</formula>
    </cfRule>
  </conditionalFormatting>
  <conditionalFormatting sqref="B38">
    <cfRule type="expression" dxfId="791" priority="1626">
      <formula>AD38&lt;&gt;""</formula>
    </cfRule>
  </conditionalFormatting>
  <conditionalFormatting sqref="Z38">
    <cfRule type="cellIs" dxfId="790" priority="1624" operator="greaterThan">
      <formula>0</formula>
    </cfRule>
    <cfRule type="cellIs" dxfId="789" priority="1625" operator="lessThan">
      <formula>0</formula>
    </cfRule>
  </conditionalFormatting>
  <conditionalFormatting sqref="S38">
    <cfRule type="cellIs" dxfId="788" priority="1623" operator="lessThan">
      <formula>0</formula>
    </cfRule>
  </conditionalFormatting>
  <conditionalFormatting sqref="P38">
    <cfRule type="cellIs" dxfId="787" priority="1621" operator="equal">
      <formula>AS_DURATION_EFFORT</formula>
    </cfRule>
    <cfRule type="cellIs" dxfId="786" priority="1622" operator="equal">
      <formula>AS_DEV_EFFORT</formula>
    </cfRule>
  </conditionalFormatting>
  <conditionalFormatting sqref="L38:M38 P38:AC38">
    <cfRule type="expression" dxfId="785" priority="1627">
      <formula>AND($G38="Yes", $S$6="Exclude")</formula>
    </cfRule>
    <cfRule type="expression" dxfId="784" priority="1628">
      <formula>$J38="Yes"</formula>
    </cfRule>
  </conditionalFormatting>
  <conditionalFormatting sqref="F38">
    <cfRule type="expression" dxfId="783" priority="1620">
      <formula>$K38&lt;&gt;""</formula>
    </cfRule>
  </conditionalFormatting>
  <conditionalFormatting sqref="C38">
    <cfRule type="expression" dxfId="782" priority="1619">
      <formula>$G38&lt;&gt;"-"</formula>
    </cfRule>
  </conditionalFormatting>
  <conditionalFormatting sqref="D38">
    <cfRule type="expression" dxfId="781" priority="1618">
      <formula>$H38&lt;&gt;"-"</formula>
    </cfRule>
  </conditionalFormatting>
  <conditionalFormatting sqref="E38">
    <cfRule type="expression" dxfId="780" priority="1617">
      <formula>$I38&lt;&gt;"-"</formula>
    </cfRule>
  </conditionalFormatting>
  <conditionalFormatting sqref="B37">
    <cfRule type="expression" dxfId="779" priority="1614">
      <formula>AD37&lt;&gt;""</formula>
    </cfRule>
  </conditionalFormatting>
  <conditionalFormatting sqref="Z37">
    <cfRule type="cellIs" dxfId="778" priority="1612" operator="greaterThan">
      <formula>0</formula>
    </cfRule>
    <cfRule type="cellIs" dxfId="777" priority="1613" operator="lessThan">
      <formula>0</formula>
    </cfRule>
  </conditionalFormatting>
  <conditionalFormatting sqref="S37">
    <cfRule type="cellIs" dxfId="776" priority="1611" operator="lessThan">
      <formula>0</formula>
    </cfRule>
  </conditionalFormatting>
  <conditionalFormatting sqref="P37">
    <cfRule type="cellIs" dxfId="775" priority="1609" operator="equal">
      <formula>AS_DURATION_EFFORT</formula>
    </cfRule>
    <cfRule type="cellIs" dxfId="774" priority="1610" operator="equal">
      <formula>AS_DEV_EFFORT</formula>
    </cfRule>
  </conditionalFormatting>
  <conditionalFormatting sqref="L37:M37 P37:AC37">
    <cfRule type="expression" dxfId="773" priority="1615">
      <formula>AND($G37="Yes", $S$6="Exclude")</formula>
    </cfRule>
    <cfRule type="expression" dxfId="772" priority="1616">
      <formula>$J37="Yes"</formula>
    </cfRule>
  </conditionalFormatting>
  <conditionalFormatting sqref="F37">
    <cfRule type="expression" dxfId="771" priority="1608">
      <formula>$K37&lt;&gt;""</formula>
    </cfRule>
  </conditionalFormatting>
  <conditionalFormatting sqref="C37">
    <cfRule type="expression" dxfId="770" priority="1607">
      <formula>$G37&lt;&gt;"-"</formula>
    </cfRule>
  </conditionalFormatting>
  <conditionalFormatting sqref="D37">
    <cfRule type="expression" dxfId="769" priority="1606">
      <formula>$H37&lt;&gt;"-"</formula>
    </cfRule>
  </conditionalFormatting>
  <conditionalFormatting sqref="E37">
    <cfRule type="expression" dxfId="768" priority="1605">
      <formula>$I37&lt;&gt;"-"</formula>
    </cfRule>
  </conditionalFormatting>
  <conditionalFormatting sqref="B36">
    <cfRule type="expression" dxfId="767" priority="1602">
      <formula>AD36&lt;&gt;""</formula>
    </cfRule>
  </conditionalFormatting>
  <conditionalFormatting sqref="Z36">
    <cfRule type="cellIs" dxfId="766" priority="1600" operator="greaterThan">
      <formula>0</formula>
    </cfRule>
    <cfRule type="cellIs" dxfId="765" priority="1601" operator="lessThan">
      <formula>0</formula>
    </cfRule>
  </conditionalFormatting>
  <conditionalFormatting sqref="S36">
    <cfRule type="cellIs" dxfId="764" priority="1599" operator="lessThan">
      <formula>0</formula>
    </cfRule>
  </conditionalFormatting>
  <conditionalFormatting sqref="P36">
    <cfRule type="cellIs" dxfId="763" priority="1597" operator="equal">
      <formula>AS_DURATION_EFFORT</formula>
    </cfRule>
    <cfRule type="cellIs" dxfId="762" priority="1598" operator="equal">
      <formula>AS_DEV_EFFORT</formula>
    </cfRule>
  </conditionalFormatting>
  <conditionalFormatting sqref="L36:M36 P36:AC36">
    <cfRule type="expression" dxfId="761" priority="1603">
      <formula>AND($G36="Yes", $S$6="Exclude")</formula>
    </cfRule>
    <cfRule type="expression" dxfId="760" priority="1604">
      <formula>$J36="Yes"</formula>
    </cfRule>
  </conditionalFormatting>
  <conditionalFormatting sqref="F36">
    <cfRule type="expression" dxfId="759" priority="1596">
      <formula>$K36&lt;&gt;""</formula>
    </cfRule>
  </conditionalFormatting>
  <conditionalFormatting sqref="C36">
    <cfRule type="expression" dxfId="758" priority="1595">
      <formula>$G36&lt;&gt;"-"</formula>
    </cfRule>
  </conditionalFormatting>
  <conditionalFormatting sqref="D36">
    <cfRule type="expression" dxfId="757" priority="1594">
      <formula>$H36&lt;&gt;"-"</formula>
    </cfRule>
  </conditionalFormatting>
  <conditionalFormatting sqref="E36">
    <cfRule type="expression" dxfId="756" priority="1593">
      <formula>$I36&lt;&gt;"-"</formula>
    </cfRule>
  </conditionalFormatting>
  <conditionalFormatting sqref="N35">
    <cfRule type="expression" dxfId="755" priority="1591">
      <formula>AND($G35="Yes", $S$6="Exclude")</formula>
    </cfRule>
    <cfRule type="expression" dxfId="754" priority="1592">
      <formula>$J35="Yes"</formula>
    </cfRule>
  </conditionalFormatting>
  <conditionalFormatting sqref="N38">
    <cfRule type="expression" dxfId="753" priority="1589">
      <formula>AND($G38="Yes", $S$6="Exclude")</formula>
    </cfRule>
    <cfRule type="expression" dxfId="752" priority="1590">
      <formula>$J38="Yes"</formula>
    </cfRule>
  </conditionalFormatting>
  <conditionalFormatting sqref="N37">
    <cfRule type="expression" dxfId="751" priority="1587">
      <formula>AND($G37="Yes", $S$6="Exclude")</formula>
    </cfRule>
    <cfRule type="expression" dxfId="750" priority="1588">
      <formula>$J37="Yes"</formula>
    </cfRule>
  </conditionalFormatting>
  <conditionalFormatting sqref="N36">
    <cfRule type="expression" dxfId="749" priority="1585">
      <formula>AND($G36="Yes", $S$6="Exclude")</formula>
    </cfRule>
    <cfRule type="expression" dxfId="748" priority="1586">
      <formula>$J36="Yes"</formula>
    </cfRule>
  </conditionalFormatting>
  <conditionalFormatting sqref="N39">
    <cfRule type="expression" dxfId="747" priority="1583">
      <formula>AND($G39="Yes", $S$6="Exclude")</formula>
    </cfRule>
    <cfRule type="expression" dxfId="746" priority="1584">
      <formula>$J39="Yes"</formula>
    </cfRule>
  </conditionalFormatting>
  <conditionalFormatting sqref="O36">
    <cfRule type="expression" dxfId="745" priority="1581">
      <formula>AND($G36="Yes", $S$6="Exclude")</formula>
    </cfRule>
    <cfRule type="expression" dxfId="744" priority="1582">
      <formula>$J36="Yes"</formula>
    </cfRule>
  </conditionalFormatting>
  <conditionalFormatting sqref="O37">
    <cfRule type="expression" dxfId="743" priority="1579">
      <formula>AND($G37="Yes", $S$6="Exclude")</formula>
    </cfRule>
    <cfRule type="expression" dxfId="742" priority="1580">
      <formula>$J37="Yes"</formula>
    </cfRule>
  </conditionalFormatting>
  <conditionalFormatting sqref="O38">
    <cfRule type="expression" dxfId="741" priority="1577">
      <formula>AND($G38="Yes", $S$6="Exclude")</formula>
    </cfRule>
    <cfRule type="expression" dxfId="740" priority="1578">
      <formula>$J38="Yes"</formula>
    </cfRule>
  </conditionalFormatting>
  <conditionalFormatting sqref="B45">
    <cfRule type="expression" dxfId="739" priority="1574">
      <formula>AD45&lt;&gt;""</formula>
    </cfRule>
  </conditionalFormatting>
  <conditionalFormatting sqref="Z45">
    <cfRule type="cellIs" dxfId="738" priority="1572" operator="greaterThan">
      <formula>0</formula>
    </cfRule>
    <cfRule type="cellIs" dxfId="737" priority="1573" operator="lessThan">
      <formula>0</formula>
    </cfRule>
  </conditionalFormatting>
  <conditionalFormatting sqref="S45">
    <cfRule type="cellIs" dxfId="736" priority="1571" operator="lessThan">
      <formula>0</formula>
    </cfRule>
  </conditionalFormatting>
  <conditionalFormatting sqref="P45">
    <cfRule type="cellIs" dxfId="735" priority="1569" operator="equal">
      <formula>AS_DURATION_EFFORT</formula>
    </cfRule>
    <cfRule type="cellIs" dxfId="734" priority="1570" operator="equal">
      <formula>AS_DEV_EFFORT</formula>
    </cfRule>
  </conditionalFormatting>
  <conditionalFormatting sqref="L45:M45 P45:AC45">
    <cfRule type="expression" dxfId="733" priority="1575">
      <formula>AND($G45="Yes", $S$6="Exclude")</formula>
    </cfRule>
    <cfRule type="expression" dxfId="732" priority="1576">
      <formula>$J45="Yes"</formula>
    </cfRule>
  </conditionalFormatting>
  <conditionalFormatting sqref="F45">
    <cfRule type="expression" dxfId="731" priority="1568">
      <formula>$K45&lt;&gt;""</formula>
    </cfRule>
  </conditionalFormatting>
  <conditionalFormatting sqref="C45">
    <cfRule type="expression" dxfId="730" priority="1567">
      <formula>$G45&lt;&gt;"-"</formula>
    </cfRule>
  </conditionalFormatting>
  <conditionalFormatting sqref="D45">
    <cfRule type="expression" dxfId="729" priority="1566">
      <formula>$H45&lt;&gt;"-"</formula>
    </cfRule>
  </conditionalFormatting>
  <conditionalFormatting sqref="E45">
    <cfRule type="expression" dxfId="728" priority="1565">
      <formula>$I45&lt;&gt;"-"</formula>
    </cfRule>
  </conditionalFormatting>
  <conditionalFormatting sqref="B44">
    <cfRule type="expression" dxfId="727" priority="1562">
      <formula>AD44&lt;&gt;""</formula>
    </cfRule>
  </conditionalFormatting>
  <conditionalFormatting sqref="Z44">
    <cfRule type="cellIs" dxfId="726" priority="1560" operator="greaterThan">
      <formula>0</formula>
    </cfRule>
    <cfRule type="cellIs" dxfId="725" priority="1561" operator="lessThan">
      <formula>0</formula>
    </cfRule>
  </conditionalFormatting>
  <conditionalFormatting sqref="S44">
    <cfRule type="cellIs" dxfId="724" priority="1559" operator="lessThan">
      <formula>0</formula>
    </cfRule>
  </conditionalFormatting>
  <conditionalFormatting sqref="P44">
    <cfRule type="cellIs" dxfId="723" priority="1557" operator="equal">
      <formula>AS_DURATION_EFFORT</formula>
    </cfRule>
    <cfRule type="cellIs" dxfId="722" priority="1558" operator="equal">
      <formula>AS_DEV_EFFORT</formula>
    </cfRule>
  </conditionalFormatting>
  <conditionalFormatting sqref="L44:M44 P44:AC44">
    <cfRule type="expression" dxfId="721" priority="1563">
      <formula>AND($G44="Yes", $S$6="Exclude")</formula>
    </cfRule>
    <cfRule type="expression" dxfId="720" priority="1564">
      <formula>$J44="Yes"</formula>
    </cfRule>
  </conditionalFormatting>
  <conditionalFormatting sqref="F44">
    <cfRule type="expression" dxfId="719" priority="1556">
      <formula>$K44&lt;&gt;""</formula>
    </cfRule>
  </conditionalFormatting>
  <conditionalFormatting sqref="C44">
    <cfRule type="expression" dxfId="718" priority="1555">
      <formula>$G44&lt;&gt;"-"</formula>
    </cfRule>
  </conditionalFormatting>
  <conditionalFormatting sqref="D44">
    <cfRule type="expression" dxfId="717" priority="1554">
      <formula>$H44&lt;&gt;"-"</formula>
    </cfRule>
  </conditionalFormatting>
  <conditionalFormatting sqref="E44">
    <cfRule type="expression" dxfId="716" priority="1553">
      <formula>$I44&lt;&gt;"-"</formula>
    </cfRule>
  </conditionalFormatting>
  <conditionalFormatting sqref="N43:O45">
    <cfRule type="expression" dxfId="715" priority="1551">
      <formula>AND($G43="Yes", $S$6="Exclude")</formula>
    </cfRule>
    <cfRule type="expression" dxfId="714" priority="1552">
      <formula>$J43="Yes"</formula>
    </cfRule>
  </conditionalFormatting>
  <conditionalFormatting sqref="B52">
    <cfRule type="expression" dxfId="713" priority="1472">
      <formula>AD52&lt;&gt;""</formula>
    </cfRule>
  </conditionalFormatting>
  <conditionalFormatting sqref="Z52">
    <cfRule type="cellIs" dxfId="712" priority="1470" operator="greaterThan">
      <formula>0</formula>
    </cfRule>
    <cfRule type="cellIs" dxfId="711" priority="1471" operator="lessThan">
      <formula>0</formula>
    </cfRule>
  </conditionalFormatting>
  <conditionalFormatting sqref="S52">
    <cfRule type="cellIs" dxfId="710" priority="1469" operator="lessThan">
      <formula>0</formula>
    </cfRule>
  </conditionalFormatting>
  <conditionalFormatting sqref="P52">
    <cfRule type="cellIs" dxfId="709" priority="1467" operator="equal">
      <formula>AS_DURATION_EFFORT</formula>
    </cfRule>
    <cfRule type="cellIs" dxfId="708" priority="1468" operator="equal">
      <formula>AS_DEV_EFFORT</formula>
    </cfRule>
  </conditionalFormatting>
  <conditionalFormatting sqref="F52">
    <cfRule type="expression" dxfId="707" priority="1466">
      <formula>$K52&lt;&gt;""</formula>
    </cfRule>
  </conditionalFormatting>
  <conditionalFormatting sqref="C52">
    <cfRule type="expression" dxfId="706" priority="1465">
      <formula>$G52&lt;&gt;"-"</formula>
    </cfRule>
  </conditionalFormatting>
  <conditionalFormatting sqref="D52">
    <cfRule type="expression" dxfId="705" priority="1464">
      <formula>$H52&lt;&gt;"-"</formula>
    </cfRule>
  </conditionalFormatting>
  <conditionalFormatting sqref="E52">
    <cfRule type="expression" dxfId="704" priority="1463">
      <formula>$I52&lt;&gt;"-"</formula>
    </cfRule>
  </conditionalFormatting>
  <conditionalFormatting sqref="B51">
    <cfRule type="expression" dxfId="703" priority="1460">
      <formula>AD51&lt;&gt;""</formula>
    </cfRule>
  </conditionalFormatting>
  <conditionalFormatting sqref="Z51">
    <cfRule type="cellIs" dxfId="702" priority="1458" operator="greaterThan">
      <formula>0</formula>
    </cfRule>
    <cfRule type="cellIs" dxfId="701" priority="1459" operator="lessThan">
      <formula>0</formula>
    </cfRule>
  </conditionalFormatting>
  <conditionalFormatting sqref="S51">
    <cfRule type="cellIs" dxfId="700" priority="1457" operator="lessThan">
      <formula>0</formula>
    </cfRule>
  </conditionalFormatting>
  <conditionalFormatting sqref="P51">
    <cfRule type="cellIs" dxfId="699" priority="1455" operator="equal">
      <formula>AS_DURATION_EFFORT</formula>
    </cfRule>
    <cfRule type="cellIs" dxfId="698" priority="1456" operator="equal">
      <formula>AS_DEV_EFFORT</formula>
    </cfRule>
  </conditionalFormatting>
  <conditionalFormatting sqref="F51">
    <cfRule type="expression" dxfId="697" priority="1454">
      <formula>$K51&lt;&gt;""</formula>
    </cfRule>
  </conditionalFormatting>
  <conditionalFormatting sqref="C51">
    <cfRule type="expression" dxfId="696" priority="1453">
      <formula>$G51&lt;&gt;"-"</formula>
    </cfRule>
  </conditionalFormatting>
  <conditionalFormatting sqref="D51">
    <cfRule type="expression" dxfId="695" priority="1452">
      <formula>$H51&lt;&gt;"-"</formula>
    </cfRule>
  </conditionalFormatting>
  <conditionalFormatting sqref="E51">
    <cfRule type="expression" dxfId="694" priority="1451">
      <formula>$I51&lt;&gt;"-"</formula>
    </cfRule>
  </conditionalFormatting>
  <conditionalFormatting sqref="B50">
    <cfRule type="expression" dxfId="693" priority="1448">
      <formula>AD50&lt;&gt;""</formula>
    </cfRule>
  </conditionalFormatting>
  <conditionalFormatting sqref="Z50">
    <cfRule type="cellIs" dxfId="692" priority="1446" operator="greaterThan">
      <formula>0</formula>
    </cfRule>
    <cfRule type="cellIs" dxfId="691" priority="1447" operator="lessThan">
      <formula>0</formula>
    </cfRule>
  </conditionalFormatting>
  <conditionalFormatting sqref="S50">
    <cfRule type="cellIs" dxfId="690" priority="1445" operator="lessThan">
      <formula>0</formula>
    </cfRule>
  </conditionalFormatting>
  <conditionalFormatting sqref="P50">
    <cfRule type="cellIs" dxfId="689" priority="1443" operator="equal">
      <formula>AS_DURATION_EFFORT</formula>
    </cfRule>
    <cfRule type="cellIs" dxfId="688" priority="1444" operator="equal">
      <formula>AS_DEV_EFFORT</formula>
    </cfRule>
  </conditionalFormatting>
  <conditionalFormatting sqref="F50">
    <cfRule type="expression" dxfId="687" priority="1442">
      <formula>$K50&lt;&gt;""</formula>
    </cfRule>
  </conditionalFormatting>
  <conditionalFormatting sqref="C50">
    <cfRule type="expression" dxfId="686" priority="1441">
      <formula>$G50&lt;&gt;"-"</formula>
    </cfRule>
  </conditionalFormatting>
  <conditionalFormatting sqref="D50">
    <cfRule type="expression" dxfId="685" priority="1440">
      <formula>$H50&lt;&gt;"-"</formula>
    </cfRule>
  </conditionalFormatting>
  <conditionalFormatting sqref="E50">
    <cfRule type="expression" dxfId="684" priority="1439">
      <formula>$I50&lt;&gt;"-"</formula>
    </cfRule>
  </conditionalFormatting>
  <conditionalFormatting sqref="B299">
    <cfRule type="expression" dxfId="683" priority="1431">
      <formula>AD299&lt;&gt;""</formula>
    </cfRule>
  </conditionalFormatting>
  <conditionalFormatting sqref="Z299">
    <cfRule type="cellIs" dxfId="682" priority="1429" operator="greaterThan">
      <formula>0</formula>
    </cfRule>
    <cfRule type="cellIs" dxfId="681" priority="1430" operator="lessThan">
      <formula>0</formula>
    </cfRule>
  </conditionalFormatting>
  <conditionalFormatting sqref="S299">
    <cfRule type="cellIs" dxfId="680" priority="1428" operator="lessThan">
      <formula>0</formula>
    </cfRule>
  </conditionalFormatting>
  <conditionalFormatting sqref="T297:T298">
    <cfRule type="expression" dxfId="679" priority="1432">
      <formula>#REF!="Yes"</formula>
    </cfRule>
  </conditionalFormatting>
  <conditionalFormatting sqref="P299">
    <cfRule type="cellIs" dxfId="678" priority="1426" operator="equal">
      <formula>AS_DURATION_EFFORT</formula>
    </cfRule>
    <cfRule type="cellIs" dxfId="677" priority="1427" operator="equal">
      <formula>AS_DEV_EFFORT</formula>
    </cfRule>
  </conditionalFormatting>
  <conditionalFormatting sqref="B297:B298">
    <cfRule type="expression" dxfId="676" priority="1425">
      <formula>AD297&lt;&gt;""</formula>
    </cfRule>
  </conditionalFormatting>
  <conditionalFormatting sqref="F299">
    <cfRule type="expression" dxfId="675" priority="1424">
      <formula>$K299&lt;&gt;""</formula>
    </cfRule>
  </conditionalFormatting>
  <conditionalFormatting sqref="C299">
    <cfRule type="expression" dxfId="674" priority="1423">
      <formula>$G299&lt;&gt;"-"</formula>
    </cfRule>
  </conditionalFormatting>
  <conditionalFormatting sqref="D299">
    <cfRule type="expression" dxfId="673" priority="1422">
      <formula>$H299&lt;&gt;"-"</formula>
    </cfRule>
  </conditionalFormatting>
  <conditionalFormatting sqref="E299">
    <cfRule type="expression" dxfId="672" priority="1421">
      <formula>$I299&lt;&gt;"-"</formula>
    </cfRule>
  </conditionalFormatting>
  <conditionalFormatting sqref="S296">
    <cfRule type="expression" dxfId="671" priority="1420">
      <formula>#REF!="Yes"</formula>
    </cfRule>
  </conditionalFormatting>
  <conditionalFormatting sqref="B296">
    <cfRule type="expression" dxfId="670" priority="1419">
      <formula>AD296&lt;&gt;""</formula>
    </cfRule>
  </conditionalFormatting>
  <conditionalFormatting sqref="B300">
    <cfRule type="expression" dxfId="669" priority="1416">
      <formula>AD300&lt;&gt;""</formula>
    </cfRule>
  </conditionalFormatting>
  <conditionalFormatting sqref="Z300">
    <cfRule type="cellIs" dxfId="668" priority="1414" operator="greaterThan">
      <formula>0</formula>
    </cfRule>
    <cfRule type="cellIs" dxfId="667" priority="1415" operator="lessThan">
      <formula>0</formula>
    </cfRule>
  </conditionalFormatting>
  <conditionalFormatting sqref="S300">
    <cfRule type="cellIs" dxfId="666" priority="1413" operator="lessThan">
      <formula>0</formula>
    </cfRule>
  </conditionalFormatting>
  <conditionalFormatting sqref="P300">
    <cfRule type="cellIs" dxfId="665" priority="1411" operator="equal">
      <formula>AS_DURATION_EFFORT</formula>
    </cfRule>
    <cfRule type="cellIs" dxfId="664" priority="1412" operator="equal">
      <formula>AS_DEV_EFFORT</formula>
    </cfRule>
  </conditionalFormatting>
  <conditionalFormatting sqref="F300">
    <cfRule type="expression" dxfId="663" priority="1410">
      <formula>$K300&lt;&gt;""</formula>
    </cfRule>
  </conditionalFormatting>
  <conditionalFormatting sqref="C300">
    <cfRule type="expression" dxfId="662" priority="1409">
      <formula>$G300&lt;&gt;"-"</formula>
    </cfRule>
  </conditionalFormatting>
  <conditionalFormatting sqref="D300">
    <cfRule type="expression" dxfId="661" priority="1408">
      <formula>$H300&lt;&gt;"-"</formula>
    </cfRule>
  </conditionalFormatting>
  <conditionalFormatting sqref="E300">
    <cfRule type="expression" dxfId="660" priority="1407">
      <formula>$I300&lt;&gt;"-"</formula>
    </cfRule>
  </conditionalFormatting>
  <conditionalFormatting sqref="B314">
    <cfRule type="expression" dxfId="659" priority="1005">
      <formula>AD314&lt;&gt;""</formula>
    </cfRule>
  </conditionalFormatting>
  <conditionalFormatting sqref="Z314">
    <cfRule type="cellIs" dxfId="658" priority="1003" operator="greaterThan">
      <formula>0</formula>
    </cfRule>
    <cfRule type="cellIs" dxfId="657" priority="1004" operator="lessThan">
      <formula>0</formula>
    </cfRule>
  </conditionalFormatting>
  <conditionalFormatting sqref="S314">
    <cfRule type="cellIs" dxfId="656" priority="1002" operator="lessThan">
      <formula>0</formula>
    </cfRule>
  </conditionalFormatting>
  <conditionalFormatting sqref="T312:T313">
    <cfRule type="expression" dxfId="655" priority="1006">
      <formula>#REF!="Yes"</formula>
    </cfRule>
  </conditionalFormatting>
  <conditionalFormatting sqref="P314">
    <cfRule type="cellIs" dxfId="654" priority="1000" operator="equal">
      <formula>AS_DURATION_EFFORT</formula>
    </cfRule>
    <cfRule type="cellIs" dxfId="653" priority="1001" operator="equal">
      <formula>AS_DEV_EFFORT</formula>
    </cfRule>
  </conditionalFormatting>
  <conditionalFormatting sqref="B312:B313">
    <cfRule type="expression" dxfId="652" priority="999">
      <formula>AD312&lt;&gt;""</formula>
    </cfRule>
  </conditionalFormatting>
  <conditionalFormatting sqref="F314">
    <cfRule type="expression" dxfId="651" priority="998">
      <formula>$K314&lt;&gt;""</formula>
    </cfRule>
  </conditionalFormatting>
  <conditionalFormatting sqref="C314">
    <cfRule type="expression" dxfId="650" priority="997">
      <formula>$G314&lt;&gt;"-"</formula>
    </cfRule>
  </conditionalFormatting>
  <conditionalFormatting sqref="D314">
    <cfRule type="expression" dxfId="649" priority="996">
      <formula>$H314&lt;&gt;"-"</formula>
    </cfRule>
  </conditionalFormatting>
  <conditionalFormatting sqref="E314">
    <cfRule type="expression" dxfId="648" priority="995">
      <formula>$I314&lt;&gt;"-"</formula>
    </cfRule>
  </conditionalFormatting>
  <conditionalFormatting sqref="B315">
    <cfRule type="expression" dxfId="647" priority="994">
      <formula>AD315&lt;&gt;""</formula>
    </cfRule>
  </conditionalFormatting>
  <conditionalFormatting sqref="Z315">
    <cfRule type="cellIs" dxfId="646" priority="992" operator="greaterThan">
      <formula>0</formula>
    </cfRule>
    <cfRule type="cellIs" dxfId="645" priority="993" operator="lessThan">
      <formula>0</formula>
    </cfRule>
  </conditionalFormatting>
  <conditionalFormatting sqref="S315">
    <cfRule type="cellIs" dxfId="644" priority="991" operator="lessThan">
      <formula>0</formula>
    </cfRule>
  </conditionalFormatting>
  <conditionalFormatting sqref="P315">
    <cfRule type="cellIs" dxfId="643" priority="989" operator="equal">
      <formula>AS_DURATION_EFFORT</formula>
    </cfRule>
    <cfRule type="cellIs" dxfId="642" priority="990" operator="equal">
      <formula>AS_DEV_EFFORT</formula>
    </cfRule>
  </conditionalFormatting>
  <conditionalFormatting sqref="F315">
    <cfRule type="expression" dxfId="641" priority="988">
      <formula>$K315&lt;&gt;""</formula>
    </cfRule>
  </conditionalFormatting>
  <conditionalFormatting sqref="C315">
    <cfRule type="expression" dxfId="640" priority="987">
      <formula>$G315&lt;&gt;"-"</formula>
    </cfRule>
  </conditionalFormatting>
  <conditionalFormatting sqref="D315">
    <cfRule type="expression" dxfId="639" priority="986">
      <formula>$H315&lt;&gt;"-"</formula>
    </cfRule>
  </conditionalFormatting>
  <conditionalFormatting sqref="E315">
    <cfRule type="expression" dxfId="638" priority="985">
      <formula>$I315&lt;&gt;"-"</formula>
    </cfRule>
  </conditionalFormatting>
  <conditionalFormatting sqref="B316">
    <cfRule type="expression" dxfId="637" priority="984">
      <formula>AD316&lt;&gt;""</formula>
    </cfRule>
  </conditionalFormatting>
  <conditionalFormatting sqref="Z316">
    <cfRule type="cellIs" dxfId="636" priority="982" operator="greaterThan">
      <formula>0</formula>
    </cfRule>
    <cfRule type="cellIs" dxfId="635" priority="983" operator="lessThan">
      <formula>0</formula>
    </cfRule>
  </conditionalFormatting>
  <conditionalFormatting sqref="S316">
    <cfRule type="cellIs" dxfId="634" priority="981" operator="lessThan">
      <formula>0</formula>
    </cfRule>
  </conditionalFormatting>
  <conditionalFormatting sqref="P316">
    <cfRule type="cellIs" dxfId="633" priority="979" operator="equal">
      <formula>AS_DURATION_EFFORT</formula>
    </cfRule>
    <cfRule type="cellIs" dxfId="632" priority="980" operator="equal">
      <formula>AS_DEV_EFFORT</formula>
    </cfRule>
  </conditionalFormatting>
  <conditionalFormatting sqref="F316">
    <cfRule type="expression" dxfId="631" priority="978">
      <formula>$K316&lt;&gt;""</formula>
    </cfRule>
  </conditionalFormatting>
  <conditionalFormatting sqref="C316">
    <cfRule type="expression" dxfId="630" priority="977">
      <formula>$G316&lt;&gt;"-"</formula>
    </cfRule>
  </conditionalFormatting>
  <conditionalFormatting sqref="D316">
    <cfRule type="expression" dxfId="629" priority="976">
      <formula>$H316&lt;&gt;"-"</formula>
    </cfRule>
  </conditionalFormatting>
  <conditionalFormatting sqref="E316">
    <cfRule type="expression" dxfId="628" priority="975">
      <formula>$I316&lt;&gt;"-"</formula>
    </cfRule>
  </conditionalFormatting>
  <conditionalFormatting sqref="B317">
    <cfRule type="expression" dxfId="627" priority="974">
      <formula>AD317&lt;&gt;""</formula>
    </cfRule>
  </conditionalFormatting>
  <conditionalFormatting sqref="Z317">
    <cfRule type="cellIs" dxfId="626" priority="972" operator="greaterThan">
      <formula>0</formula>
    </cfRule>
    <cfRule type="cellIs" dxfId="625" priority="973" operator="lessThan">
      <formula>0</formula>
    </cfRule>
  </conditionalFormatting>
  <conditionalFormatting sqref="S317">
    <cfRule type="cellIs" dxfId="624" priority="971" operator="lessThan">
      <formula>0</formula>
    </cfRule>
  </conditionalFormatting>
  <conditionalFormatting sqref="P317">
    <cfRule type="cellIs" dxfId="623" priority="969" operator="equal">
      <formula>AS_DURATION_EFFORT</formula>
    </cfRule>
    <cfRule type="cellIs" dxfId="622" priority="970" operator="equal">
      <formula>AS_DEV_EFFORT</formula>
    </cfRule>
  </conditionalFormatting>
  <conditionalFormatting sqref="F317">
    <cfRule type="expression" dxfId="621" priority="968">
      <formula>$K317&lt;&gt;""</formula>
    </cfRule>
  </conditionalFormatting>
  <conditionalFormatting sqref="C317">
    <cfRule type="expression" dxfId="620" priority="967">
      <formula>$G317&lt;&gt;"-"</formula>
    </cfRule>
  </conditionalFormatting>
  <conditionalFormatting sqref="D317">
    <cfRule type="expression" dxfId="619" priority="966">
      <formula>$H317&lt;&gt;"-"</formula>
    </cfRule>
  </conditionalFormatting>
  <conditionalFormatting sqref="E317">
    <cfRule type="expression" dxfId="618" priority="965">
      <formula>$I317&lt;&gt;"-"</formula>
    </cfRule>
  </conditionalFormatting>
  <conditionalFormatting sqref="B308">
    <cfRule type="expression" dxfId="617" priority="961">
      <formula>AD308&lt;&gt;""</formula>
    </cfRule>
  </conditionalFormatting>
  <conditionalFormatting sqref="Z308">
    <cfRule type="cellIs" dxfId="616" priority="959" operator="greaterThan">
      <formula>0</formula>
    </cfRule>
    <cfRule type="cellIs" dxfId="615" priority="960" operator="lessThan">
      <formula>0</formula>
    </cfRule>
  </conditionalFormatting>
  <conditionalFormatting sqref="S308">
    <cfRule type="cellIs" dxfId="614" priority="958" operator="lessThan">
      <formula>0</formula>
    </cfRule>
  </conditionalFormatting>
  <conditionalFormatting sqref="T306:T307">
    <cfRule type="expression" dxfId="613" priority="962">
      <formula>#REF!="Yes"</formula>
    </cfRule>
  </conditionalFormatting>
  <conditionalFormatting sqref="P308">
    <cfRule type="cellIs" dxfId="612" priority="956" operator="equal">
      <formula>AS_DURATION_EFFORT</formula>
    </cfRule>
    <cfRule type="cellIs" dxfId="611" priority="957" operator="equal">
      <formula>AS_DEV_EFFORT</formula>
    </cfRule>
  </conditionalFormatting>
  <conditionalFormatting sqref="B306:B307">
    <cfRule type="expression" dxfId="610" priority="955">
      <formula>AD306&lt;&gt;""</formula>
    </cfRule>
  </conditionalFormatting>
  <conditionalFormatting sqref="F308">
    <cfRule type="expression" dxfId="609" priority="954">
      <formula>$K308&lt;&gt;""</formula>
    </cfRule>
  </conditionalFormatting>
  <conditionalFormatting sqref="C308">
    <cfRule type="expression" dxfId="608" priority="953">
      <formula>$G308&lt;&gt;"-"</formula>
    </cfRule>
  </conditionalFormatting>
  <conditionalFormatting sqref="D308">
    <cfRule type="expression" dxfId="607" priority="952">
      <formula>$H308&lt;&gt;"-"</formula>
    </cfRule>
  </conditionalFormatting>
  <conditionalFormatting sqref="E308">
    <cfRule type="expression" dxfId="606" priority="951">
      <formula>$I308&lt;&gt;"-"</formula>
    </cfRule>
  </conditionalFormatting>
  <conditionalFormatting sqref="S305">
    <cfRule type="expression" dxfId="605" priority="950">
      <formula>#REF!="Yes"</formula>
    </cfRule>
  </conditionalFormatting>
  <conditionalFormatting sqref="B305">
    <cfRule type="expression" dxfId="604" priority="949">
      <formula>AD305&lt;&gt;""</formula>
    </cfRule>
  </conditionalFormatting>
  <conditionalFormatting sqref="B309">
    <cfRule type="expression" dxfId="603" priority="946">
      <formula>AD309&lt;&gt;""</formula>
    </cfRule>
  </conditionalFormatting>
  <conditionalFormatting sqref="Z309">
    <cfRule type="cellIs" dxfId="602" priority="944" operator="greaterThan">
      <formula>0</formula>
    </cfRule>
    <cfRule type="cellIs" dxfId="601" priority="945" operator="lessThan">
      <formula>0</formula>
    </cfRule>
  </conditionalFormatting>
  <conditionalFormatting sqref="S309">
    <cfRule type="cellIs" dxfId="600" priority="943" operator="lessThan">
      <formula>0</formula>
    </cfRule>
  </conditionalFormatting>
  <conditionalFormatting sqref="F309">
    <cfRule type="expression" dxfId="599" priority="940">
      <formula>$K309&lt;&gt;""</formula>
    </cfRule>
  </conditionalFormatting>
  <conditionalFormatting sqref="C309">
    <cfRule type="expression" dxfId="598" priority="939">
      <formula>$G309&lt;&gt;"-"</formula>
    </cfRule>
  </conditionalFormatting>
  <conditionalFormatting sqref="D309">
    <cfRule type="expression" dxfId="597" priority="938">
      <formula>$H309&lt;&gt;"-"</formula>
    </cfRule>
  </conditionalFormatting>
  <conditionalFormatting sqref="E309">
    <cfRule type="expression" dxfId="596" priority="937">
      <formula>$I309&lt;&gt;"-"</formula>
    </cfRule>
  </conditionalFormatting>
  <conditionalFormatting sqref="P309">
    <cfRule type="cellIs" dxfId="595" priority="931" operator="equal">
      <formula>AS_DURATION_EFFORT</formula>
    </cfRule>
    <cfRule type="cellIs" dxfId="594" priority="932" operator="equal">
      <formula>AS_DEV_EFFORT</formula>
    </cfRule>
  </conditionalFormatting>
  <conditionalFormatting sqref="S311">
    <cfRule type="expression" dxfId="593" priority="930">
      <formula>#REF!="Yes"</formula>
    </cfRule>
  </conditionalFormatting>
  <conditionalFormatting sqref="B311">
    <cfRule type="expression" dxfId="592" priority="929">
      <formula>AD311&lt;&gt;""</formula>
    </cfRule>
  </conditionalFormatting>
  <conditionalFormatting sqref="P322">
    <cfRule type="cellIs" dxfId="591" priority="925" operator="equal">
      <formula>AS_DURATION_EFFORT</formula>
    </cfRule>
    <cfRule type="cellIs" dxfId="590" priority="926" operator="equal">
      <formula>AS_DEV_EFFORT</formula>
    </cfRule>
  </conditionalFormatting>
  <conditionalFormatting sqref="B114">
    <cfRule type="expression" dxfId="589" priority="895">
      <formula>AD114&lt;&gt;""</formula>
    </cfRule>
  </conditionalFormatting>
  <conditionalFormatting sqref="Z114">
    <cfRule type="cellIs" dxfId="588" priority="893" operator="greaterThan">
      <formula>0</formula>
    </cfRule>
    <cfRule type="cellIs" dxfId="587" priority="894" operator="lessThan">
      <formula>0</formula>
    </cfRule>
  </conditionalFormatting>
  <conditionalFormatting sqref="S114">
    <cfRule type="cellIs" dxfId="586" priority="892" operator="lessThan">
      <formula>0</formula>
    </cfRule>
  </conditionalFormatting>
  <conditionalFormatting sqref="T112:T113">
    <cfRule type="expression" dxfId="585" priority="896">
      <formula>#REF!="Yes"</formula>
    </cfRule>
  </conditionalFormatting>
  <conditionalFormatting sqref="P114">
    <cfRule type="cellIs" dxfId="584" priority="890" operator="equal">
      <formula>AS_DURATION_EFFORT</formula>
    </cfRule>
    <cfRule type="cellIs" dxfId="583" priority="891" operator="equal">
      <formula>AS_DEV_EFFORT</formula>
    </cfRule>
  </conditionalFormatting>
  <conditionalFormatting sqref="B112:B113">
    <cfRule type="expression" dxfId="582" priority="889">
      <formula>AD112&lt;&gt;""</formula>
    </cfRule>
  </conditionalFormatting>
  <conditionalFormatting sqref="F114">
    <cfRule type="expression" dxfId="581" priority="888">
      <formula>$K114&lt;&gt;""</formula>
    </cfRule>
  </conditionalFormatting>
  <conditionalFormatting sqref="C114">
    <cfRule type="expression" dxfId="580" priority="887">
      <formula>$G114&lt;&gt;"-"</formula>
    </cfRule>
  </conditionalFormatting>
  <conditionalFormatting sqref="D114">
    <cfRule type="expression" dxfId="579" priority="886">
      <formula>$H114&lt;&gt;"-"</formula>
    </cfRule>
  </conditionalFormatting>
  <conditionalFormatting sqref="E114">
    <cfRule type="expression" dxfId="578" priority="885">
      <formula>$I114&lt;&gt;"-"</formula>
    </cfRule>
  </conditionalFormatting>
  <conditionalFormatting sqref="B110">
    <cfRule type="expression" dxfId="577" priority="881">
      <formula>AD110&lt;&gt;""</formula>
    </cfRule>
  </conditionalFormatting>
  <conditionalFormatting sqref="Z110">
    <cfRule type="cellIs" dxfId="576" priority="879" operator="greaterThan">
      <formula>0</formula>
    </cfRule>
    <cfRule type="cellIs" dxfId="575" priority="880" operator="lessThan">
      <formula>0</formula>
    </cfRule>
  </conditionalFormatting>
  <conditionalFormatting sqref="S110">
    <cfRule type="cellIs" dxfId="574" priority="878" operator="lessThan">
      <formula>0</formula>
    </cfRule>
  </conditionalFormatting>
  <conditionalFormatting sqref="T108:T109">
    <cfRule type="expression" dxfId="573" priority="882">
      <formula>#REF!="Yes"</formula>
    </cfRule>
  </conditionalFormatting>
  <conditionalFormatting sqref="P110">
    <cfRule type="cellIs" dxfId="572" priority="876" operator="equal">
      <formula>AS_DURATION_EFFORT</formula>
    </cfRule>
    <cfRule type="cellIs" dxfId="571" priority="877" operator="equal">
      <formula>AS_DEV_EFFORT</formula>
    </cfRule>
  </conditionalFormatting>
  <conditionalFormatting sqref="B108:B109">
    <cfRule type="expression" dxfId="570" priority="875">
      <formula>AD108&lt;&gt;""</formula>
    </cfRule>
  </conditionalFormatting>
  <conditionalFormatting sqref="F110">
    <cfRule type="expression" dxfId="569" priority="874">
      <formula>$K110&lt;&gt;""</formula>
    </cfRule>
  </conditionalFormatting>
  <conditionalFormatting sqref="C110">
    <cfRule type="expression" dxfId="568" priority="873">
      <formula>$G110&lt;&gt;"-"</formula>
    </cfRule>
  </conditionalFormatting>
  <conditionalFormatting sqref="D110">
    <cfRule type="expression" dxfId="567" priority="872">
      <formula>$H110&lt;&gt;"-"</formula>
    </cfRule>
  </conditionalFormatting>
  <conditionalFormatting sqref="E110">
    <cfRule type="expression" dxfId="566" priority="871">
      <formula>$I110&lt;&gt;"-"</formula>
    </cfRule>
  </conditionalFormatting>
  <conditionalFormatting sqref="B106">
    <cfRule type="expression" dxfId="565" priority="867">
      <formula>AD106&lt;&gt;""</formula>
    </cfRule>
  </conditionalFormatting>
  <conditionalFormatting sqref="Z106">
    <cfRule type="cellIs" dxfId="564" priority="865" operator="greaterThan">
      <formula>0</formula>
    </cfRule>
    <cfRule type="cellIs" dxfId="563" priority="866" operator="lessThan">
      <formula>0</formula>
    </cfRule>
  </conditionalFormatting>
  <conditionalFormatting sqref="S106">
    <cfRule type="cellIs" dxfId="562" priority="864" operator="lessThan">
      <formula>0</formula>
    </cfRule>
  </conditionalFormatting>
  <conditionalFormatting sqref="T104:T105">
    <cfRule type="expression" dxfId="561" priority="868">
      <formula>#REF!="Yes"</formula>
    </cfRule>
  </conditionalFormatting>
  <conditionalFormatting sqref="P106">
    <cfRule type="cellIs" dxfId="560" priority="862" operator="equal">
      <formula>AS_DURATION_EFFORT</formula>
    </cfRule>
    <cfRule type="cellIs" dxfId="559" priority="863" operator="equal">
      <formula>AS_DEV_EFFORT</formula>
    </cfRule>
  </conditionalFormatting>
  <conditionalFormatting sqref="B104:B105">
    <cfRule type="expression" dxfId="558" priority="861">
      <formula>AD104&lt;&gt;""</formula>
    </cfRule>
  </conditionalFormatting>
  <conditionalFormatting sqref="F106">
    <cfRule type="expression" dxfId="557" priority="860">
      <formula>$K106&lt;&gt;""</formula>
    </cfRule>
  </conditionalFormatting>
  <conditionalFormatting sqref="C106">
    <cfRule type="expression" dxfId="556" priority="859">
      <formula>$G106&lt;&gt;"-"</formula>
    </cfRule>
  </conditionalFormatting>
  <conditionalFormatting sqref="D106">
    <cfRule type="expression" dxfId="555" priority="858">
      <formula>$H106&lt;&gt;"-"</formula>
    </cfRule>
  </conditionalFormatting>
  <conditionalFormatting sqref="E106">
    <cfRule type="expression" dxfId="554" priority="857">
      <formula>$I106&lt;&gt;"-"</formula>
    </cfRule>
  </conditionalFormatting>
  <conditionalFormatting sqref="B98">
    <cfRule type="expression" dxfId="553" priority="853">
      <formula>AD98&lt;&gt;""</formula>
    </cfRule>
  </conditionalFormatting>
  <conditionalFormatting sqref="Z98">
    <cfRule type="cellIs" dxfId="552" priority="851" operator="greaterThan">
      <formula>0</formula>
    </cfRule>
    <cfRule type="cellIs" dxfId="551" priority="852" operator="lessThan">
      <formula>0</formula>
    </cfRule>
  </conditionalFormatting>
  <conditionalFormatting sqref="S98">
    <cfRule type="cellIs" dxfId="550" priority="850" operator="lessThan">
      <formula>0</formula>
    </cfRule>
  </conditionalFormatting>
  <conditionalFormatting sqref="T96:T97">
    <cfRule type="expression" dxfId="549" priority="854">
      <formula>#REF!="Yes"</formula>
    </cfRule>
  </conditionalFormatting>
  <conditionalFormatting sqref="P98">
    <cfRule type="cellIs" dxfId="548" priority="848" operator="equal">
      <formula>AS_DURATION_EFFORT</formula>
    </cfRule>
    <cfRule type="cellIs" dxfId="547" priority="849" operator="equal">
      <formula>AS_DEV_EFFORT</formula>
    </cfRule>
  </conditionalFormatting>
  <conditionalFormatting sqref="B96:B97">
    <cfRule type="expression" dxfId="546" priority="847">
      <formula>AD96&lt;&gt;""</formula>
    </cfRule>
  </conditionalFormatting>
  <conditionalFormatting sqref="F98">
    <cfRule type="expression" dxfId="545" priority="846">
      <formula>$K98&lt;&gt;""</formula>
    </cfRule>
  </conditionalFormatting>
  <conditionalFormatting sqref="C98">
    <cfRule type="expression" dxfId="544" priority="845">
      <formula>$G98&lt;&gt;"-"</formula>
    </cfRule>
  </conditionalFormatting>
  <conditionalFormatting sqref="D98">
    <cfRule type="expression" dxfId="543" priority="844">
      <formula>$H98&lt;&gt;"-"</formula>
    </cfRule>
  </conditionalFormatting>
  <conditionalFormatting sqref="E98">
    <cfRule type="expression" dxfId="542" priority="843">
      <formula>$I98&lt;&gt;"-"</formula>
    </cfRule>
  </conditionalFormatting>
  <conditionalFormatting sqref="B102">
    <cfRule type="expression" dxfId="541" priority="839">
      <formula>AD102&lt;&gt;""</formula>
    </cfRule>
  </conditionalFormatting>
  <conditionalFormatting sqref="Z102">
    <cfRule type="cellIs" dxfId="540" priority="837" operator="greaterThan">
      <formula>0</formula>
    </cfRule>
    <cfRule type="cellIs" dxfId="539" priority="838" operator="lessThan">
      <formula>0</formula>
    </cfRule>
  </conditionalFormatting>
  <conditionalFormatting sqref="S102">
    <cfRule type="cellIs" dxfId="538" priority="836" operator="lessThan">
      <formula>0</formula>
    </cfRule>
  </conditionalFormatting>
  <conditionalFormatting sqref="T100:T101">
    <cfRule type="expression" dxfId="537" priority="840">
      <formula>#REF!="Yes"</formula>
    </cfRule>
  </conditionalFormatting>
  <conditionalFormatting sqref="P102">
    <cfRule type="cellIs" dxfId="536" priority="834" operator="equal">
      <formula>AS_DURATION_EFFORT</formula>
    </cfRule>
    <cfRule type="cellIs" dxfId="535" priority="835" operator="equal">
      <formula>AS_DEV_EFFORT</formula>
    </cfRule>
  </conditionalFormatting>
  <conditionalFormatting sqref="B100:B101">
    <cfRule type="expression" dxfId="534" priority="833">
      <formula>AD100&lt;&gt;""</formula>
    </cfRule>
  </conditionalFormatting>
  <conditionalFormatting sqref="F102">
    <cfRule type="expression" dxfId="533" priority="832">
      <formula>$K102&lt;&gt;""</formula>
    </cfRule>
  </conditionalFormatting>
  <conditionalFormatting sqref="C102">
    <cfRule type="expression" dxfId="532" priority="831">
      <formula>$G102&lt;&gt;"-"</formula>
    </cfRule>
  </conditionalFormatting>
  <conditionalFormatting sqref="D102">
    <cfRule type="expression" dxfId="531" priority="830">
      <formula>$H102&lt;&gt;"-"</formula>
    </cfRule>
  </conditionalFormatting>
  <conditionalFormatting sqref="E102">
    <cfRule type="expression" dxfId="530" priority="829">
      <formula>$I102&lt;&gt;"-"</formula>
    </cfRule>
  </conditionalFormatting>
  <conditionalFormatting sqref="S216">
    <cfRule type="expression" dxfId="529" priority="798">
      <formula>#REF!="Yes"</formula>
    </cfRule>
  </conditionalFormatting>
  <conditionalFormatting sqref="B216">
    <cfRule type="expression" dxfId="528" priority="797">
      <formula>AD216&lt;&gt;""</formula>
    </cfRule>
  </conditionalFormatting>
  <conditionalFormatting sqref="S191">
    <cfRule type="expression" dxfId="527" priority="796">
      <formula>#REF!="Yes"</formula>
    </cfRule>
  </conditionalFormatting>
  <conditionalFormatting sqref="B191">
    <cfRule type="expression" dxfId="526" priority="795">
      <formula>AD191&lt;&gt;""</formula>
    </cfRule>
  </conditionalFormatting>
  <conditionalFormatting sqref="S166">
    <cfRule type="expression" dxfId="525" priority="794">
      <formula>#REF!="Yes"</formula>
    </cfRule>
  </conditionalFormatting>
  <conditionalFormatting sqref="B166">
    <cfRule type="expression" dxfId="524" priority="793">
      <formula>AD166&lt;&gt;""</formula>
    </cfRule>
  </conditionalFormatting>
  <conditionalFormatting sqref="S141">
    <cfRule type="expression" dxfId="523" priority="792">
      <formula>#REF!="Yes"</formula>
    </cfRule>
  </conditionalFormatting>
  <conditionalFormatting sqref="B141">
    <cfRule type="expression" dxfId="522" priority="791">
      <formula>AD141&lt;&gt;""</formula>
    </cfRule>
  </conditionalFormatting>
  <conditionalFormatting sqref="S266">
    <cfRule type="expression" dxfId="521" priority="790">
      <formula>#REF!="Yes"</formula>
    </cfRule>
  </conditionalFormatting>
  <conditionalFormatting sqref="B266">
    <cfRule type="expression" dxfId="520" priority="789">
      <formula>AD266&lt;&gt;""</formula>
    </cfRule>
  </conditionalFormatting>
  <conditionalFormatting sqref="S241">
    <cfRule type="expression" dxfId="519" priority="788">
      <formula>#REF!="Yes"</formula>
    </cfRule>
  </conditionalFormatting>
  <conditionalFormatting sqref="B241">
    <cfRule type="expression" dxfId="518" priority="787">
      <formula>AD241&lt;&gt;""</formula>
    </cfRule>
  </conditionalFormatting>
  <conditionalFormatting sqref="S287">
    <cfRule type="expression" dxfId="517" priority="772">
      <formula>#REF!="Yes"</formula>
    </cfRule>
  </conditionalFormatting>
  <conditionalFormatting sqref="B287">
    <cfRule type="expression" dxfId="516" priority="771">
      <formula>AD287&lt;&gt;""</formula>
    </cfRule>
  </conditionalFormatting>
  <conditionalFormatting sqref="B139">
    <cfRule type="expression" dxfId="515" priority="767">
      <formula>AD139&lt;&gt;""</formula>
    </cfRule>
  </conditionalFormatting>
  <conditionalFormatting sqref="Z139">
    <cfRule type="cellIs" dxfId="514" priority="765" operator="greaterThan">
      <formula>0</formula>
    </cfRule>
    <cfRule type="cellIs" dxfId="513" priority="766" operator="lessThan">
      <formula>0</formula>
    </cfRule>
  </conditionalFormatting>
  <conditionalFormatting sqref="S139">
    <cfRule type="cellIs" dxfId="512" priority="764" operator="lessThan">
      <formula>0</formula>
    </cfRule>
  </conditionalFormatting>
  <conditionalFormatting sqref="T137:T138">
    <cfRule type="expression" dxfId="511" priority="768">
      <formula>#REF!="Yes"</formula>
    </cfRule>
  </conditionalFormatting>
  <conditionalFormatting sqref="P139">
    <cfRule type="cellIs" dxfId="510" priority="762" operator="equal">
      <formula>AS_DURATION_EFFORT</formula>
    </cfRule>
    <cfRule type="cellIs" dxfId="509" priority="763" operator="equal">
      <formula>AS_DEV_EFFORT</formula>
    </cfRule>
  </conditionalFormatting>
  <conditionalFormatting sqref="B137:B138">
    <cfRule type="expression" dxfId="508" priority="761">
      <formula>AD137&lt;&gt;""</formula>
    </cfRule>
  </conditionalFormatting>
  <conditionalFormatting sqref="F139">
    <cfRule type="expression" dxfId="507" priority="760">
      <formula>$K139&lt;&gt;""</formula>
    </cfRule>
  </conditionalFormatting>
  <conditionalFormatting sqref="C139">
    <cfRule type="expression" dxfId="506" priority="759">
      <formula>$G139&lt;&gt;"-"</formula>
    </cfRule>
  </conditionalFormatting>
  <conditionalFormatting sqref="D139">
    <cfRule type="expression" dxfId="505" priority="758">
      <formula>$H139&lt;&gt;"-"</formula>
    </cfRule>
  </conditionalFormatting>
  <conditionalFormatting sqref="E139">
    <cfRule type="expression" dxfId="504" priority="757">
      <formula>$I139&lt;&gt;"-"</formula>
    </cfRule>
  </conditionalFormatting>
  <conditionalFormatting sqref="B135">
    <cfRule type="expression" dxfId="503" priority="753">
      <formula>AD135&lt;&gt;""</formula>
    </cfRule>
  </conditionalFormatting>
  <conditionalFormatting sqref="Z135">
    <cfRule type="cellIs" dxfId="502" priority="751" operator="greaterThan">
      <formula>0</formula>
    </cfRule>
    <cfRule type="cellIs" dxfId="501" priority="752" operator="lessThan">
      <formula>0</formula>
    </cfRule>
  </conditionalFormatting>
  <conditionalFormatting sqref="S135">
    <cfRule type="cellIs" dxfId="500" priority="750" operator="lessThan">
      <formula>0</formula>
    </cfRule>
  </conditionalFormatting>
  <conditionalFormatting sqref="T133:T134">
    <cfRule type="expression" dxfId="499" priority="754">
      <formula>#REF!="Yes"</formula>
    </cfRule>
  </conditionalFormatting>
  <conditionalFormatting sqref="P135">
    <cfRule type="cellIs" dxfId="498" priority="748" operator="equal">
      <formula>AS_DURATION_EFFORT</formula>
    </cfRule>
    <cfRule type="cellIs" dxfId="497" priority="749" operator="equal">
      <formula>AS_DEV_EFFORT</formula>
    </cfRule>
  </conditionalFormatting>
  <conditionalFormatting sqref="B133:B134">
    <cfRule type="expression" dxfId="496" priority="747">
      <formula>AD133&lt;&gt;""</formula>
    </cfRule>
  </conditionalFormatting>
  <conditionalFormatting sqref="F135">
    <cfRule type="expression" dxfId="495" priority="746">
      <formula>$K135&lt;&gt;""</formula>
    </cfRule>
  </conditionalFormatting>
  <conditionalFormatting sqref="C135">
    <cfRule type="expression" dxfId="494" priority="745">
      <formula>$G135&lt;&gt;"-"</formula>
    </cfRule>
  </conditionalFormatting>
  <conditionalFormatting sqref="D135">
    <cfRule type="expression" dxfId="493" priority="744">
      <formula>$H135&lt;&gt;"-"</formula>
    </cfRule>
  </conditionalFormatting>
  <conditionalFormatting sqref="E135">
    <cfRule type="expression" dxfId="492" priority="743">
      <formula>$I135&lt;&gt;"-"</formula>
    </cfRule>
  </conditionalFormatting>
  <conditionalFormatting sqref="B131">
    <cfRule type="expression" dxfId="491" priority="739">
      <formula>AD131&lt;&gt;""</formula>
    </cfRule>
  </conditionalFormatting>
  <conditionalFormatting sqref="Z131">
    <cfRule type="cellIs" dxfId="490" priority="737" operator="greaterThan">
      <formula>0</formula>
    </cfRule>
    <cfRule type="cellIs" dxfId="489" priority="738" operator="lessThan">
      <formula>0</formula>
    </cfRule>
  </conditionalFormatting>
  <conditionalFormatting sqref="S131">
    <cfRule type="cellIs" dxfId="488" priority="736" operator="lessThan">
      <formula>0</formula>
    </cfRule>
  </conditionalFormatting>
  <conditionalFormatting sqref="T129:T130">
    <cfRule type="expression" dxfId="487" priority="740">
      <formula>#REF!="Yes"</formula>
    </cfRule>
  </conditionalFormatting>
  <conditionalFormatting sqref="P131">
    <cfRule type="cellIs" dxfId="486" priority="734" operator="equal">
      <formula>AS_DURATION_EFFORT</formula>
    </cfRule>
    <cfRule type="cellIs" dxfId="485" priority="735" operator="equal">
      <formula>AS_DEV_EFFORT</formula>
    </cfRule>
  </conditionalFormatting>
  <conditionalFormatting sqref="B129:B130">
    <cfRule type="expression" dxfId="484" priority="733">
      <formula>AD129&lt;&gt;""</formula>
    </cfRule>
  </conditionalFormatting>
  <conditionalFormatting sqref="F131">
    <cfRule type="expression" dxfId="483" priority="732">
      <formula>$K131&lt;&gt;""</formula>
    </cfRule>
  </conditionalFormatting>
  <conditionalFormatting sqref="C131">
    <cfRule type="expression" dxfId="482" priority="731">
      <formula>$G131&lt;&gt;"-"</formula>
    </cfRule>
  </conditionalFormatting>
  <conditionalFormatting sqref="D131">
    <cfRule type="expression" dxfId="481" priority="730">
      <formula>$H131&lt;&gt;"-"</formula>
    </cfRule>
  </conditionalFormatting>
  <conditionalFormatting sqref="E131">
    <cfRule type="expression" dxfId="480" priority="729">
      <formula>$I131&lt;&gt;"-"</formula>
    </cfRule>
  </conditionalFormatting>
  <conditionalFormatting sqref="B127">
    <cfRule type="expression" dxfId="479" priority="725">
      <formula>AD127&lt;&gt;""</formula>
    </cfRule>
  </conditionalFormatting>
  <conditionalFormatting sqref="Z127">
    <cfRule type="cellIs" dxfId="478" priority="723" operator="greaterThan">
      <formula>0</formula>
    </cfRule>
    <cfRule type="cellIs" dxfId="477" priority="724" operator="lessThan">
      <formula>0</formula>
    </cfRule>
  </conditionalFormatting>
  <conditionalFormatting sqref="S127">
    <cfRule type="cellIs" dxfId="476" priority="722" operator="lessThan">
      <formula>0</formula>
    </cfRule>
  </conditionalFormatting>
  <conditionalFormatting sqref="T125:T126">
    <cfRule type="expression" dxfId="475" priority="726">
      <formula>#REF!="Yes"</formula>
    </cfRule>
  </conditionalFormatting>
  <conditionalFormatting sqref="P127">
    <cfRule type="cellIs" dxfId="474" priority="720" operator="equal">
      <formula>AS_DURATION_EFFORT</formula>
    </cfRule>
    <cfRule type="cellIs" dxfId="473" priority="721" operator="equal">
      <formula>AS_DEV_EFFORT</formula>
    </cfRule>
  </conditionalFormatting>
  <conditionalFormatting sqref="B125:B126">
    <cfRule type="expression" dxfId="472" priority="719">
      <formula>AD125&lt;&gt;""</formula>
    </cfRule>
  </conditionalFormatting>
  <conditionalFormatting sqref="F127">
    <cfRule type="expression" dxfId="471" priority="718">
      <formula>$K127&lt;&gt;""</formula>
    </cfRule>
  </conditionalFormatting>
  <conditionalFormatting sqref="C127">
    <cfRule type="expression" dxfId="470" priority="717">
      <formula>$G127&lt;&gt;"-"</formula>
    </cfRule>
  </conditionalFormatting>
  <conditionalFormatting sqref="D127">
    <cfRule type="expression" dxfId="469" priority="716">
      <formula>$H127&lt;&gt;"-"</formula>
    </cfRule>
  </conditionalFormatting>
  <conditionalFormatting sqref="E127">
    <cfRule type="expression" dxfId="468" priority="715">
      <formula>$I127&lt;&gt;"-"</formula>
    </cfRule>
  </conditionalFormatting>
  <conditionalFormatting sqref="B123">
    <cfRule type="expression" dxfId="467" priority="711">
      <formula>AD123&lt;&gt;""</formula>
    </cfRule>
  </conditionalFormatting>
  <conditionalFormatting sqref="Z123">
    <cfRule type="cellIs" dxfId="466" priority="709" operator="greaterThan">
      <formula>0</formula>
    </cfRule>
    <cfRule type="cellIs" dxfId="465" priority="710" operator="lessThan">
      <formula>0</formula>
    </cfRule>
  </conditionalFormatting>
  <conditionalFormatting sqref="S123">
    <cfRule type="cellIs" dxfId="464" priority="708" operator="lessThan">
      <formula>0</formula>
    </cfRule>
  </conditionalFormatting>
  <conditionalFormatting sqref="T121:T122">
    <cfRule type="expression" dxfId="463" priority="712">
      <formula>#REF!="Yes"</formula>
    </cfRule>
  </conditionalFormatting>
  <conditionalFormatting sqref="P123">
    <cfRule type="cellIs" dxfId="462" priority="706" operator="equal">
      <formula>AS_DURATION_EFFORT</formula>
    </cfRule>
    <cfRule type="cellIs" dxfId="461" priority="707" operator="equal">
      <formula>AS_DEV_EFFORT</formula>
    </cfRule>
  </conditionalFormatting>
  <conditionalFormatting sqref="B121:B122">
    <cfRule type="expression" dxfId="460" priority="705">
      <formula>AD121&lt;&gt;""</formula>
    </cfRule>
  </conditionalFormatting>
  <conditionalFormatting sqref="F123">
    <cfRule type="expression" dxfId="459" priority="704">
      <formula>$K123&lt;&gt;""</formula>
    </cfRule>
  </conditionalFormatting>
  <conditionalFormatting sqref="C123">
    <cfRule type="expression" dxfId="458" priority="703">
      <formula>$G123&lt;&gt;"-"</formula>
    </cfRule>
  </conditionalFormatting>
  <conditionalFormatting sqref="D123">
    <cfRule type="expression" dxfId="457" priority="702">
      <formula>$H123&lt;&gt;"-"</formula>
    </cfRule>
  </conditionalFormatting>
  <conditionalFormatting sqref="E123">
    <cfRule type="expression" dxfId="456" priority="701">
      <formula>$I123&lt;&gt;"-"</formula>
    </cfRule>
  </conditionalFormatting>
  <conditionalFormatting sqref="B119">
    <cfRule type="expression" dxfId="455" priority="697">
      <formula>AD119&lt;&gt;""</formula>
    </cfRule>
  </conditionalFormatting>
  <conditionalFormatting sqref="Z119">
    <cfRule type="cellIs" dxfId="454" priority="695" operator="greaterThan">
      <formula>0</formula>
    </cfRule>
    <cfRule type="cellIs" dxfId="453" priority="696" operator="lessThan">
      <formula>0</formula>
    </cfRule>
  </conditionalFormatting>
  <conditionalFormatting sqref="S119">
    <cfRule type="cellIs" dxfId="452" priority="694" operator="lessThan">
      <formula>0</formula>
    </cfRule>
  </conditionalFormatting>
  <conditionalFormatting sqref="T117:T118">
    <cfRule type="expression" dxfId="451" priority="698">
      <formula>#REF!="Yes"</formula>
    </cfRule>
  </conditionalFormatting>
  <conditionalFormatting sqref="P119">
    <cfRule type="cellIs" dxfId="450" priority="692" operator="equal">
      <formula>AS_DURATION_EFFORT</formula>
    </cfRule>
    <cfRule type="cellIs" dxfId="449" priority="693" operator="equal">
      <formula>AS_DEV_EFFORT</formula>
    </cfRule>
  </conditionalFormatting>
  <conditionalFormatting sqref="B117:B118">
    <cfRule type="expression" dxfId="448" priority="691">
      <formula>AD117&lt;&gt;""</formula>
    </cfRule>
  </conditionalFormatting>
  <conditionalFormatting sqref="F119">
    <cfRule type="expression" dxfId="447" priority="690">
      <formula>$K119&lt;&gt;""</formula>
    </cfRule>
  </conditionalFormatting>
  <conditionalFormatting sqref="C119">
    <cfRule type="expression" dxfId="446" priority="689">
      <formula>$G119&lt;&gt;"-"</formula>
    </cfRule>
  </conditionalFormatting>
  <conditionalFormatting sqref="D119">
    <cfRule type="expression" dxfId="445" priority="688">
      <formula>$H119&lt;&gt;"-"</formula>
    </cfRule>
  </conditionalFormatting>
  <conditionalFormatting sqref="E119">
    <cfRule type="expression" dxfId="444" priority="687">
      <formula>$I119&lt;&gt;"-"</formula>
    </cfRule>
  </conditionalFormatting>
  <conditionalFormatting sqref="B164">
    <cfRule type="expression" dxfId="443" priority="683">
      <formula>AD164&lt;&gt;""</formula>
    </cfRule>
  </conditionalFormatting>
  <conditionalFormatting sqref="Z164">
    <cfRule type="cellIs" dxfId="442" priority="681" operator="greaterThan">
      <formula>0</formula>
    </cfRule>
    <cfRule type="cellIs" dxfId="441" priority="682" operator="lessThan">
      <formula>0</formula>
    </cfRule>
  </conditionalFormatting>
  <conditionalFormatting sqref="S164">
    <cfRule type="cellIs" dxfId="440" priority="680" operator="lessThan">
      <formula>0</formula>
    </cfRule>
  </conditionalFormatting>
  <conditionalFormatting sqref="T162:T163">
    <cfRule type="expression" dxfId="439" priority="684">
      <formula>#REF!="Yes"</formula>
    </cfRule>
  </conditionalFormatting>
  <conditionalFormatting sqref="P164">
    <cfRule type="cellIs" dxfId="438" priority="678" operator="equal">
      <formula>AS_DURATION_EFFORT</formula>
    </cfRule>
    <cfRule type="cellIs" dxfId="437" priority="679" operator="equal">
      <formula>AS_DEV_EFFORT</formula>
    </cfRule>
  </conditionalFormatting>
  <conditionalFormatting sqref="B162:B163">
    <cfRule type="expression" dxfId="436" priority="677">
      <formula>AD162&lt;&gt;""</formula>
    </cfRule>
  </conditionalFormatting>
  <conditionalFormatting sqref="F164">
    <cfRule type="expression" dxfId="435" priority="676">
      <formula>$K164&lt;&gt;""</formula>
    </cfRule>
  </conditionalFormatting>
  <conditionalFormatting sqref="C164">
    <cfRule type="expression" dxfId="434" priority="675">
      <formula>$G164&lt;&gt;"-"</formula>
    </cfRule>
  </conditionalFormatting>
  <conditionalFormatting sqref="D164">
    <cfRule type="expression" dxfId="433" priority="674">
      <formula>$H164&lt;&gt;"-"</formula>
    </cfRule>
  </conditionalFormatting>
  <conditionalFormatting sqref="E164">
    <cfRule type="expression" dxfId="432" priority="673">
      <formula>$I164&lt;&gt;"-"</formula>
    </cfRule>
  </conditionalFormatting>
  <conditionalFormatting sqref="B160">
    <cfRule type="expression" dxfId="431" priority="669">
      <formula>AD160&lt;&gt;""</formula>
    </cfRule>
  </conditionalFormatting>
  <conditionalFormatting sqref="Z160">
    <cfRule type="cellIs" dxfId="430" priority="667" operator="greaterThan">
      <formula>0</formula>
    </cfRule>
    <cfRule type="cellIs" dxfId="429" priority="668" operator="lessThan">
      <formula>0</formula>
    </cfRule>
  </conditionalFormatting>
  <conditionalFormatting sqref="S160">
    <cfRule type="cellIs" dxfId="428" priority="666" operator="lessThan">
      <formula>0</formula>
    </cfRule>
  </conditionalFormatting>
  <conditionalFormatting sqref="T158:T159">
    <cfRule type="expression" dxfId="427" priority="670">
      <formula>#REF!="Yes"</formula>
    </cfRule>
  </conditionalFormatting>
  <conditionalFormatting sqref="P160">
    <cfRule type="cellIs" dxfId="426" priority="664" operator="equal">
      <formula>AS_DURATION_EFFORT</formula>
    </cfRule>
    <cfRule type="cellIs" dxfId="425" priority="665" operator="equal">
      <formula>AS_DEV_EFFORT</formula>
    </cfRule>
  </conditionalFormatting>
  <conditionalFormatting sqref="B158:B159">
    <cfRule type="expression" dxfId="424" priority="663">
      <formula>AD158&lt;&gt;""</formula>
    </cfRule>
  </conditionalFormatting>
  <conditionalFormatting sqref="F160">
    <cfRule type="expression" dxfId="423" priority="662">
      <formula>$K160&lt;&gt;""</formula>
    </cfRule>
  </conditionalFormatting>
  <conditionalFormatting sqref="C160">
    <cfRule type="expression" dxfId="422" priority="661">
      <formula>$G160&lt;&gt;"-"</formula>
    </cfRule>
  </conditionalFormatting>
  <conditionalFormatting sqref="D160">
    <cfRule type="expression" dxfId="421" priority="660">
      <formula>$H160&lt;&gt;"-"</formula>
    </cfRule>
  </conditionalFormatting>
  <conditionalFormatting sqref="E160">
    <cfRule type="expression" dxfId="420" priority="659">
      <formula>$I160&lt;&gt;"-"</formula>
    </cfRule>
  </conditionalFormatting>
  <conditionalFormatting sqref="B156">
    <cfRule type="expression" dxfId="419" priority="655">
      <formula>AD156&lt;&gt;""</formula>
    </cfRule>
  </conditionalFormatting>
  <conditionalFormatting sqref="Z156">
    <cfRule type="cellIs" dxfId="418" priority="653" operator="greaterThan">
      <formula>0</formula>
    </cfRule>
    <cfRule type="cellIs" dxfId="417" priority="654" operator="lessThan">
      <formula>0</formula>
    </cfRule>
  </conditionalFormatting>
  <conditionalFormatting sqref="S156">
    <cfRule type="cellIs" dxfId="416" priority="652" operator="lessThan">
      <formula>0</formula>
    </cfRule>
  </conditionalFormatting>
  <conditionalFormatting sqref="T154:T155">
    <cfRule type="expression" dxfId="415" priority="656">
      <formula>#REF!="Yes"</formula>
    </cfRule>
  </conditionalFormatting>
  <conditionalFormatting sqref="P156">
    <cfRule type="cellIs" dxfId="414" priority="650" operator="equal">
      <formula>AS_DURATION_EFFORT</formula>
    </cfRule>
    <cfRule type="cellIs" dxfId="413" priority="651" operator="equal">
      <formula>AS_DEV_EFFORT</formula>
    </cfRule>
  </conditionalFormatting>
  <conditionalFormatting sqref="B154:B155">
    <cfRule type="expression" dxfId="412" priority="649">
      <formula>AD154&lt;&gt;""</formula>
    </cfRule>
  </conditionalFormatting>
  <conditionalFormatting sqref="F156">
    <cfRule type="expression" dxfId="411" priority="648">
      <formula>$K156&lt;&gt;""</formula>
    </cfRule>
  </conditionalFormatting>
  <conditionalFormatting sqref="C156">
    <cfRule type="expression" dxfId="410" priority="647">
      <formula>$G156&lt;&gt;"-"</formula>
    </cfRule>
  </conditionalFormatting>
  <conditionalFormatting sqref="D156">
    <cfRule type="expression" dxfId="409" priority="646">
      <formula>$H156&lt;&gt;"-"</formula>
    </cfRule>
  </conditionalFormatting>
  <conditionalFormatting sqref="E156">
    <cfRule type="expression" dxfId="408" priority="645">
      <formula>$I156&lt;&gt;"-"</formula>
    </cfRule>
  </conditionalFormatting>
  <conditionalFormatting sqref="B152">
    <cfRule type="expression" dxfId="407" priority="641">
      <formula>AD152&lt;&gt;""</formula>
    </cfRule>
  </conditionalFormatting>
  <conditionalFormatting sqref="Z152">
    <cfRule type="cellIs" dxfId="406" priority="639" operator="greaterThan">
      <formula>0</formula>
    </cfRule>
    <cfRule type="cellIs" dxfId="405" priority="640" operator="lessThan">
      <formula>0</formula>
    </cfRule>
  </conditionalFormatting>
  <conditionalFormatting sqref="S152">
    <cfRule type="cellIs" dxfId="404" priority="638" operator="lessThan">
      <formula>0</formula>
    </cfRule>
  </conditionalFormatting>
  <conditionalFormatting sqref="T150:T151">
    <cfRule type="expression" dxfId="403" priority="642">
      <formula>#REF!="Yes"</formula>
    </cfRule>
  </conditionalFormatting>
  <conditionalFormatting sqref="P152">
    <cfRule type="cellIs" dxfId="402" priority="636" operator="equal">
      <formula>AS_DURATION_EFFORT</formula>
    </cfRule>
    <cfRule type="cellIs" dxfId="401" priority="637" operator="equal">
      <formula>AS_DEV_EFFORT</formula>
    </cfRule>
  </conditionalFormatting>
  <conditionalFormatting sqref="B150:B151">
    <cfRule type="expression" dxfId="400" priority="635">
      <formula>AD150&lt;&gt;""</formula>
    </cfRule>
  </conditionalFormatting>
  <conditionalFormatting sqref="F152">
    <cfRule type="expression" dxfId="399" priority="634">
      <formula>$K152&lt;&gt;""</formula>
    </cfRule>
  </conditionalFormatting>
  <conditionalFormatting sqref="C152">
    <cfRule type="expression" dxfId="398" priority="633">
      <formula>$G152&lt;&gt;"-"</formula>
    </cfRule>
  </conditionalFormatting>
  <conditionalFormatting sqref="D152">
    <cfRule type="expression" dxfId="397" priority="632">
      <formula>$H152&lt;&gt;"-"</formula>
    </cfRule>
  </conditionalFormatting>
  <conditionalFormatting sqref="E152">
    <cfRule type="expression" dxfId="396" priority="631">
      <formula>$I152&lt;&gt;"-"</formula>
    </cfRule>
  </conditionalFormatting>
  <conditionalFormatting sqref="B148">
    <cfRule type="expression" dxfId="395" priority="627">
      <formula>AD148&lt;&gt;""</formula>
    </cfRule>
  </conditionalFormatting>
  <conditionalFormatting sqref="Z148">
    <cfRule type="cellIs" dxfId="394" priority="625" operator="greaterThan">
      <formula>0</formula>
    </cfRule>
    <cfRule type="cellIs" dxfId="393" priority="626" operator="lessThan">
      <formula>0</formula>
    </cfRule>
  </conditionalFormatting>
  <conditionalFormatting sqref="S148">
    <cfRule type="cellIs" dxfId="392" priority="624" operator="lessThan">
      <formula>0</formula>
    </cfRule>
  </conditionalFormatting>
  <conditionalFormatting sqref="T146:T147">
    <cfRule type="expression" dxfId="391" priority="628">
      <formula>#REF!="Yes"</formula>
    </cfRule>
  </conditionalFormatting>
  <conditionalFormatting sqref="P148">
    <cfRule type="cellIs" dxfId="390" priority="622" operator="equal">
      <formula>AS_DURATION_EFFORT</formula>
    </cfRule>
    <cfRule type="cellIs" dxfId="389" priority="623" operator="equal">
      <formula>AS_DEV_EFFORT</formula>
    </cfRule>
  </conditionalFormatting>
  <conditionalFormatting sqref="B146:B147">
    <cfRule type="expression" dxfId="388" priority="621">
      <formula>AD146&lt;&gt;""</formula>
    </cfRule>
  </conditionalFormatting>
  <conditionalFormatting sqref="F148">
    <cfRule type="expression" dxfId="387" priority="620">
      <formula>$K148&lt;&gt;""</formula>
    </cfRule>
  </conditionalFormatting>
  <conditionalFormatting sqref="C148">
    <cfRule type="expression" dxfId="386" priority="619">
      <formula>$G148&lt;&gt;"-"</formula>
    </cfRule>
  </conditionalFormatting>
  <conditionalFormatting sqref="D148">
    <cfRule type="expression" dxfId="385" priority="618">
      <formula>$H148&lt;&gt;"-"</formula>
    </cfRule>
  </conditionalFormatting>
  <conditionalFormatting sqref="E148">
    <cfRule type="expression" dxfId="384" priority="617">
      <formula>$I148&lt;&gt;"-"</formula>
    </cfRule>
  </conditionalFormatting>
  <conditionalFormatting sqref="B144">
    <cfRule type="expression" dxfId="383" priority="613">
      <formula>AD144&lt;&gt;""</formula>
    </cfRule>
  </conditionalFormatting>
  <conditionalFormatting sqref="Z144">
    <cfRule type="cellIs" dxfId="382" priority="611" operator="greaterThan">
      <formula>0</formula>
    </cfRule>
    <cfRule type="cellIs" dxfId="381" priority="612" operator="lessThan">
      <formula>0</formula>
    </cfRule>
  </conditionalFormatting>
  <conditionalFormatting sqref="S144">
    <cfRule type="cellIs" dxfId="380" priority="610" operator="lessThan">
      <formula>0</formula>
    </cfRule>
  </conditionalFormatting>
  <conditionalFormatting sqref="T142:T143">
    <cfRule type="expression" dxfId="379" priority="614">
      <formula>#REF!="Yes"</formula>
    </cfRule>
  </conditionalFormatting>
  <conditionalFormatting sqref="P144">
    <cfRule type="cellIs" dxfId="378" priority="608" operator="equal">
      <formula>AS_DURATION_EFFORT</formula>
    </cfRule>
    <cfRule type="cellIs" dxfId="377" priority="609" operator="equal">
      <formula>AS_DEV_EFFORT</formula>
    </cfRule>
  </conditionalFormatting>
  <conditionalFormatting sqref="B142:B143">
    <cfRule type="expression" dxfId="376" priority="607">
      <formula>AD142&lt;&gt;""</formula>
    </cfRule>
  </conditionalFormatting>
  <conditionalFormatting sqref="F144">
    <cfRule type="expression" dxfId="375" priority="606">
      <formula>$K144&lt;&gt;""</formula>
    </cfRule>
  </conditionalFormatting>
  <conditionalFormatting sqref="C144">
    <cfRule type="expression" dxfId="374" priority="605">
      <formula>$G144&lt;&gt;"-"</formula>
    </cfRule>
  </conditionalFormatting>
  <conditionalFormatting sqref="D144">
    <cfRule type="expression" dxfId="373" priority="604">
      <formula>$H144&lt;&gt;"-"</formula>
    </cfRule>
  </conditionalFormatting>
  <conditionalFormatting sqref="E144">
    <cfRule type="expression" dxfId="372" priority="603">
      <formula>$I144&lt;&gt;"-"</formula>
    </cfRule>
  </conditionalFormatting>
  <conditionalFormatting sqref="B189">
    <cfRule type="expression" dxfId="371" priority="599">
      <formula>AD189&lt;&gt;""</formula>
    </cfRule>
  </conditionalFormatting>
  <conditionalFormatting sqref="Z189">
    <cfRule type="cellIs" dxfId="370" priority="597" operator="greaterThan">
      <formula>0</formula>
    </cfRule>
    <cfRule type="cellIs" dxfId="369" priority="598" operator="lessThan">
      <formula>0</formula>
    </cfRule>
  </conditionalFormatting>
  <conditionalFormatting sqref="S189">
    <cfRule type="cellIs" dxfId="368" priority="596" operator="lessThan">
      <formula>0</formula>
    </cfRule>
  </conditionalFormatting>
  <conditionalFormatting sqref="T187:T188">
    <cfRule type="expression" dxfId="367" priority="600">
      <formula>#REF!="Yes"</formula>
    </cfRule>
  </conditionalFormatting>
  <conditionalFormatting sqref="P189">
    <cfRule type="cellIs" dxfId="366" priority="594" operator="equal">
      <formula>AS_DURATION_EFFORT</formula>
    </cfRule>
    <cfRule type="cellIs" dxfId="365" priority="595" operator="equal">
      <formula>AS_DEV_EFFORT</formula>
    </cfRule>
  </conditionalFormatting>
  <conditionalFormatting sqref="B187:B188">
    <cfRule type="expression" dxfId="364" priority="593">
      <formula>AD187&lt;&gt;""</formula>
    </cfRule>
  </conditionalFormatting>
  <conditionalFormatting sqref="F189">
    <cfRule type="expression" dxfId="363" priority="592">
      <formula>$K189&lt;&gt;""</formula>
    </cfRule>
  </conditionalFormatting>
  <conditionalFormatting sqref="C189">
    <cfRule type="expression" dxfId="362" priority="591">
      <formula>$G189&lt;&gt;"-"</formula>
    </cfRule>
  </conditionalFormatting>
  <conditionalFormatting sqref="D189">
    <cfRule type="expression" dxfId="361" priority="590">
      <formula>$H189&lt;&gt;"-"</formula>
    </cfRule>
  </conditionalFormatting>
  <conditionalFormatting sqref="E189">
    <cfRule type="expression" dxfId="360" priority="589">
      <formula>$I189&lt;&gt;"-"</formula>
    </cfRule>
  </conditionalFormatting>
  <conditionalFormatting sqref="B185">
    <cfRule type="expression" dxfId="359" priority="585">
      <formula>AD185&lt;&gt;""</formula>
    </cfRule>
  </conditionalFormatting>
  <conditionalFormatting sqref="Z185">
    <cfRule type="cellIs" dxfId="358" priority="583" operator="greaterThan">
      <formula>0</formula>
    </cfRule>
    <cfRule type="cellIs" dxfId="357" priority="584" operator="lessThan">
      <formula>0</formula>
    </cfRule>
  </conditionalFormatting>
  <conditionalFormatting sqref="S185">
    <cfRule type="cellIs" dxfId="356" priority="582" operator="lessThan">
      <formula>0</formula>
    </cfRule>
  </conditionalFormatting>
  <conditionalFormatting sqref="T183:T184">
    <cfRule type="expression" dxfId="355" priority="586">
      <formula>#REF!="Yes"</formula>
    </cfRule>
  </conditionalFormatting>
  <conditionalFormatting sqref="P185">
    <cfRule type="cellIs" dxfId="354" priority="580" operator="equal">
      <formula>AS_DURATION_EFFORT</formula>
    </cfRule>
    <cfRule type="cellIs" dxfId="353" priority="581" operator="equal">
      <formula>AS_DEV_EFFORT</formula>
    </cfRule>
  </conditionalFormatting>
  <conditionalFormatting sqref="B183:B184">
    <cfRule type="expression" dxfId="352" priority="579">
      <formula>AD183&lt;&gt;""</formula>
    </cfRule>
  </conditionalFormatting>
  <conditionalFormatting sqref="F185">
    <cfRule type="expression" dxfId="351" priority="578">
      <formula>$K185&lt;&gt;""</formula>
    </cfRule>
  </conditionalFormatting>
  <conditionalFormatting sqref="C185">
    <cfRule type="expression" dxfId="350" priority="577">
      <formula>$G185&lt;&gt;"-"</formula>
    </cfRule>
  </conditionalFormatting>
  <conditionalFormatting sqref="D185">
    <cfRule type="expression" dxfId="349" priority="576">
      <formula>$H185&lt;&gt;"-"</formula>
    </cfRule>
  </conditionalFormatting>
  <conditionalFormatting sqref="E185">
    <cfRule type="expression" dxfId="348" priority="575">
      <formula>$I185&lt;&gt;"-"</formula>
    </cfRule>
  </conditionalFormatting>
  <conditionalFormatting sqref="B181">
    <cfRule type="expression" dxfId="347" priority="571">
      <formula>AD181&lt;&gt;""</formula>
    </cfRule>
  </conditionalFormatting>
  <conditionalFormatting sqref="Z181">
    <cfRule type="cellIs" dxfId="346" priority="569" operator="greaterThan">
      <formula>0</formula>
    </cfRule>
    <cfRule type="cellIs" dxfId="345" priority="570" operator="lessThan">
      <formula>0</formula>
    </cfRule>
  </conditionalFormatting>
  <conditionalFormatting sqref="S181">
    <cfRule type="cellIs" dxfId="344" priority="568" operator="lessThan">
      <formula>0</formula>
    </cfRule>
  </conditionalFormatting>
  <conditionalFormatting sqref="T179:T180">
    <cfRule type="expression" dxfId="343" priority="572">
      <formula>#REF!="Yes"</formula>
    </cfRule>
  </conditionalFormatting>
  <conditionalFormatting sqref="P181">
    <cfRule type="cellIs" dxfId="342" priority="566" operator="equal">
      <formula>AS_DURATION_EFFORT</formula>
    </cfRule>
    <cfRule type="cellIs" dxfId="341" priority="567" operator="equal">
      <formula>AS_DEV_EFFORT</formula>
    </cfRule>
  </conditionalFormatting>
  <conditionalFormatting sqref="B179:B180">
    <cfRule type="expression" dxfId="340" priority="565">
      <formula>AD179&lt;&gt;""</formula>
    </cfRule>
  </conditionalFormatting>
  <conditionalFormatting sqref="F181">
    <cfRule type="expression" dxfId="339" priority="564">
      <formula>$K181&lt;&gt;""</formula>
    </cfRule>
  </conditionalFormatting>
  <conditionalFormatting sqref="C181">
    <cfRule type="expression" dxfId="338" priority="563">
      <formula>$G181&lt;&gt;"-"</formula>
    </cfRule>
  </conditionalFormatting>
  <conditionalFormatting sqref="D181">
    <cfRule type="expression" dxfId="337" priority="562">
      <formula>$H181&lt;&gt;"-"</formula>
    </cfRule>
  </conditionalFormatting>
  <conditionalFormatting sqref="E181">
    <cfRule type="expression" dxfId="336" priority="561">
      <formula>$I181&lt;&gt;"-"</formula>
    </cfRule>
  </conditionalFormatting>
  <conditionalFormatting sqref="B177">
    <cfRule type="expression" dxfId="335" priority="557">
      <formula>AD177&lt;&gt;""</formula>
    </cfRule>
  </conditionalFormatting>
  <conditionalFormatting sqref="Z177">
    <cfRule type="cellIs" dxfId="334" priority="555" operator="greaterThan">
      <formula>0</formula>
    </cfRule>
    <cfRule type="cellIs" dxfId="333" priority="556" operator="lessThan">
      <formula>0</formula>
    </cfRule>
  </conditionalFormatting>
  <conditionalFormatting sqref="S177">
    <cfRule type="cellIs" dxfId="332" priority="554" operator="lessThan">
      <formula>0</formula>
    </cfRule>
  </conditionalFormatting>
  <conditionalFormatting sqref="T175:T176">
    <cfRule type="expression" dxfId="331" priority="558">
      <formula>#REF!="Yes"</formula>
    </cfRule>
  </conditionalFormatting>
  <conditionalFormatting sqref="P177">
    <cfRule type="cellIs" dxfId="330" priority="552" operator="equal">
      <formula>AS_DURATION_EFFORT</formula>
    </cfRule>
    <cfRule type="cellIs" dxfId="329" priority="553" operator="equal">
      <formula>AS_DEV_EFFORT</formula>
    </cfRule>
  </conditionalFormatting>
  <conditionalFormatting sqref="B175:B176">
    <cfRule type="expression" dxfId="328" priority="551">
      <formula>AD175&lt;&gt;""</formula>
    </cfRule>
  </conditionalFormatting>
  <conditionalFormatting sqref="F177">
    <cfRule type="expression" dxfId="327" priority="550">
      <formula>$K177&lt;&gt;""</formula>
    </cfRule>
  </conditionalFormatting>
  <conditionalFormatting sqref="C177">
    <cfRule type="expression" dxfId="326" priority="549">
      <formula>$G177&lt;&gt;"-"</formula>
    </cfRule>
  </conditionalFormatting>
  <conditionalFormatting sqref="D177">
    <cfRule type="expression" dxfId="325" priority="548">
      <formula>$H177&lt;&gt;"-"</formula>
    </cfRule>
  </conditionalFormatting>
  <conditionalFormatting sqref="E177">
    <cfRule type="expression" dxfId="324" priority="547">
      <formula>$I177&lt;&gt;"-"</formula>
    </cfRule>
  </conditionalFormatting>
  <conditionalFormatting sqref="B173">
    <cfRule type="expression" dxfId="323" priority="543">
      <formula>AD173&lt;&gt;""</formula>
    </cfRule>
  </conditionalFormatting>
  <conditionalFormatting sqref="Z173">
    <cfRule type="cellIs" dxfId="322" priority="541" operator="greaterThan">
      <formula>0</formula>
    </cfRule>
    <cfRule type="cellIs" dxfId="321" priority="542" operator="lessThan">
      <formula>0</formula>
    </cfRule>
  </conditionalFormatting>
  <conditionalFormatting sqref="S173">
    <cfRule type="cellIs" dxfId="320" priority="540" operator="lessThan">
      <formula>0</formula>
    </cfRule>
  </conditionalFormatting>
  <conditionalFormatting sqref="T171:T172">
    <cfRule type="expression" dxfId="319" priority="544">
      <formula>#REF!="Yes"</formula>
    </cfRule>
  </conditionalFormatting>
  <conditionalFormatting sqref="P173">
    <cfRule type="cellIs" dxfId="318" priority="538" operator="equal">
      <formula>AS_DURATION_EFFORT</formula>
    </cfRule>
    <cfRule type="cellIs" dxfId="317" priority="539" operator="equal">
      <formula>AS_DEV_EFFORT</formula>
    </cfRule>
  </conditionalFormatting>
  <conditionalFormatting sqref="B171:B172">
    <cfRule type="expression" dxfId="316" priority="537">
      <formula>AD171&lt;&gt;""</formula>
    </cfRule>
  </conditionalFormatting>
  <conditionalFormatting sqref="F173">
    <cfRule type="expression" dxfId="315" priority="536">
      <formula>$K173&lt;&gt;""</formula>
    </cfRule>
  </conditionalFormatting>
  <conditionalFormatting sqref="C173">
    <cfRule type="expression" dxfId="314" priority="535">
      <formula>$G173&lt;&gt;"-"</formula>
    </cfRule>
  </conditionalFormatting>
  <conditionalFormatting sqref="D173">
    <cfRule type="expression" dxfId="313" priority="534">
      <formula>$H173&lt;&gt;"-"</formula>
    </cfRule>
  </conditionalFormatting>
  <conditionalFormatting sqref="E173">
    <cfRule type="expression" dxfId="312" priority="533">
      <formula>$I173&lt;&gt;"-"</formula>
    </cfRule>
  </conditionalFormatting>
  <conditionalFormatting sqref="B169">
    <cfRule type="expression" dxfId="311" priority="529">
      <formula>AD169&lt;&gt;""</formula>
    </cfRule>
  </conditionalFormatting>
  <conditionalFormatting sqref="Z169">
    <cfRule type="cellIs" dxfId="310" priority="527" operator="greaterThan">
      <formula>0</formula>
    </cfRule>
    <cfRule type="cellIs" dxfId="309" priority="528" operator="lessThan">
      <formula>0</formula>
    </cfRule>
  </conditionalFormatting>
  <conditionalFormatting sqref="S169">
    <cfRule type="cellIs" dxfId="308" priority="526" operator="lessThan">
      <formula>0</formula>
    </cfRule>
  </conditionalFormatting>
  <conditionalFormatting sqref="T167:T168">
    <cfRule type="expression" dxfId="307" priority="530">
      <formula>#REF!="Yes"</formula>
    </cfRule>
  </conditionalFormatting>
  <conditionalFormatting sqref="P169">
    <cfRule type="cellIs" dxfId="306" priority="524" operator="equal">
      <formula>AS_DURATION_EFFORT</formula>
    </cfRule>
    <cfRule type="cellIs" dxfId="305" priority="525" operator="equal">
      <formula>AS_DEV_EFFORT</formula>
    </cfRule>
  </conditionalFormatting>
  <conditionalFormatting sqref="B167:B168">
    <cfRule type="expression" dxfId="304" priority="523">
      <formula>AD167&lt;&gt;""</formula>
    </cfRule>
  </conditionalFormatting>
  <conditionalFormatting sqref="F169">
    <cfRule type="expression" dxfId="303" priority="522">
      <formula>$K169&lt;&gt;""</formula>
    </cfRule>
  </conditionalFormatting>
  <conditionalFormatting sqref="C169">
    <cfRule type="expression" dxfId="302" priority="521">
      <formula>$G169&lt;&gt;"-"</formula>
    </cfRule>
  </conditionalFormatting>
  <conditionalFormatting sqref="D169">
    <cfRule type="expression" dxfId="301" priority="520">
      <formula>$H169&lt;&gt;"-"</formula>
    </cfRule>
  </conditionalFormatting>
  <conditionalFormatting sqref="E169">
    <cfRule type="expression" dxfId="300" priority="519">
      <formula>$I169&lt;&gt;"-"</formula>
    </cfRule>
  </conditionalFormatting>
  <conditionalFormatting sqref="B214">
    <cfRule type="expression" dxfId="299" priority="515">
      <formula>AD214&lt;&gt;""</formula>
    </cfRule>
  </conditionalFormatting>
  <conditionalFormatting sqref="Z214">
    <cfRule type="cellIs" dxfId="298" priority="513" operator="greaterThan">
      <formula>0</formula>
    </cfRule>
    <cfRule type="cellIs" dxfId="297" priority="514" operator="lessThan">
      <formula>0</formula>
    </cfRule>
  </conditionalFormatting>
  <conditionalFormatting sqref="S214">
    <cfRule type="cellIs" dxfId="296" priority="512" operator="lessThan">
      <formula>0</formula>
    </cfRule>
  </conditionalFormatting>
  <conditionalFormatting sqref="T212:T213">
    <cfRule type="expression" dxfId="295" priority="516">
      <formula>#REF!="Yes"</formula>
    </cfRule>
  </conditionalFormatting>
  <conditionalFormatting sqref="P214">
    <cfRule type="cellIs" dxfId="294" priority="510" operator="equal">
      <formula>AS_DURATION_EFFORT</formula>
    </cfRule>
    <cfRule type="cellIs" dxfId="293" priority="511" operator="equal">
      <formula>AS_DEV_EFFORT</formula>
    </cfRule>
  </conditionalFormatting>
  <conditionalFormatting sqref="B212:B213">
    <cfRule type="expression" dxfId="292" priority="509">
      <formula>AD212&lt;&gt;""</formula>
    </cfRule>
  </conditionalFormatting>
  <conditionalFormatting sqref="F214">
    <cfRule type="expression" dxfId="291" priority="508">
      <formula>$K214&lt;&gt;""</formula>
    </cfRule>
  </conditionalFormatting>
  <conditionalFormatting sqref="C214">
    <cfRule type="expression" dxfId="290" priority="507">
      <formula>$G214&lt;&gt;"-"</formula>
    </cfRule>
  </conditionalFormatting>
  <conditionalFormatting sqref="D214">
    <cfRule type="expression" dxfId="289" priority="506">
      <formula>$H214&lt;&gt;"-"</formula>
    </cfRule>
  </conditionalFormatting>
  <conditionalFormatting sqref="E214">
    <cfRule type="expression" dxfId="288" priority="505">
      <formula>$I214&lt;&gt;"-"</formula>
    </cfRule>
  </conditionalFormatting>
  <conditionalFormatting sqref="B210">
    <cfRule type="expression" dxfId="287" priority="501">
      <formula>AD210&lt;&gt;""</formula>
    </cfRule>
  </conditionalFormatting>
  <conditionalFormatting sqref="Z210">
    <cfRule type="cellIs" dxfId="286" priority="499" operator="greaterThan">
      <formula>0</formula>
    </cfRule>
    <cfRule type="cellIs" dxfId="285" priority="500" operator="lessThan">
      <formula>0</formula>
    </cfRule>
  </conditionalFormatting>
  <conditionalFormatting sqref="S210">
    <cfRule type="cellIs" dxfId="284" priority="498" operator="lessThan">
      <formula>0</formula>
    </cfRule>
  </conditionalFormatting>
  <conditionalFormatting sqref="T208:T209">
    <cfRule type="expression" dxfId="283" priority="502">
      <formula>#REF!="Yes"</formula>
    </cfRule>
  </conditionalFormatting>
  <conditionalFormatting sqref="P210">
    <cfRule type="cellIs" dxfId="282" priority="496" operator="equal">
      <formula>AS_DURATION_EFFORT</formula>
    </cfRule>
    <cfRule type="cellIs" dxfId="281" priority="497" operator="equal">
      <formula>AS_DEV_EFFORT</formula>
    </cfRule>
  </conditionalFormatting>
  <conditionalFormatting sqref="B208:B209">
    <cfRule type="expression" dxfId="280" priority="495">
      <formula>AD208&lt;&gt;""</formula>
    </cfRule>
  </conditionalFormatting>
  <conditionalFormatting sqref="F210">
    <cfRule type="expression" dxfId="279" priority="494">
      <formula>$K210&lt;&gt;""</formula>
    </cfRule>
  </conditionalFormatting>
  <conditionalFormatting sqref="C210">
    <cfRule type="expression" dxfId="278" priority="493">
      <formula>$G210&lt;&gt;"-"</formula>
    </cfRule>
  </conditionalFormatting>
  <conditionalFormatting sqref="D210">
    <cfRule type="expression" dxfId="277" priority="492">
      <formula>$H210&lt;&gt;"-"</formula>
    </cfRule>
  </conditionalFormatting>
  <conditionalFormatting sqref="E210">
    <cfRule type="expression" dxfId="276" priority="491">
      <formula>$I210&lt;&gt;"-"</formula>
    </cfRule>
  </conditionalFormatting>
  <conditionalFormatting sqref="B206">
    <cfRule type="expression" dxfId="275" priority="487">
      <formula>AD206&lt;&gt;""</formula>
    </cfRule>
  </conditionalFormatting>
  <conditionalFormatting sqref="Z206">
    <cfRule type="cellIs" dxfId="274" priority="485" operator="greaterThan">
      <formula>0</formula>
    </cfRule>
    <cfRule type="cellIs" dxfId="273" priority="486" operator="lessThan">
      <formula>0</formula>
    </cfRule>
  </conditionalFormatting>
  <conditionalFormatting sqref="S206">
    <cfRule type="cellIs" dxfId="272" priority="484" operator="lessThan">
      <formula>0</formula>
    </cfRule>
  </conditionalFormatting>
  <conditionalFormatting sqref="T204:T205">
    <cfRule type="expression" dxfId="271" priority="488">
      <formula>#REF!="Yes"</formula>
    </cfRule>
  </conditionalFormatting>
  <conditionalFormatting sqref="P206">
    <cfRule type="cellIs" dxfId="270" priority="482" operator="equal">
      <formula>AS_DURATION_EFFORT</formula>
    </cfRule>
    <cfRule type="cellIs" dxfId="269" priority="483" operator="equal">
      <formula>AS_DEV_EFFORT</formula>
    </cfRule>
  </conditionalFormatting>
  <conditionalFormatting sqref="B204:B205">
    <cfRule type="expression" dxfId="268" priority="481">
      <formula>AD204&lt;&gt;""</formula>
    </cfRule>
  </conditionalFormatting>
  <conditionalFormatting sqref="F206">
    <cfRule type="expression" dxfId="267" priority="480">
      <formula>$K206&lt;&gt;""</formula>
    </cfRule>
  </conditionalFormatting>
  <conditionalFormatting sqref="C206">
    <cfRule type="expression" dxfId="266" priority="479">
      <formula>$G206&lt;&gt;"-"</formula>
    </cfRule>
  </conditionalFormatting>
  <conditionalFormatting sqref="D206">
    <cfRule type="expression" dxfId="265" priority="478">
      <formula>$H206&lt;&gt;"-"</formula>
    </cfRule>
  </conditionalFormatting>
  <conditionalFormatting sqref="E206">
    <cfRule type="expression" dxfId="264" priority="477">
      <formula>$I206&lt;&gt;"-"</formula>
    </cfRule>
  </conditionalFormatting>
  <conditionalFormatting sqref="B202">
    <cfRule type="expression" dxfId="263" priority="473">
      <formula>AD202&lt;&gt;""</formula>
    </cfRule>
  </conditionalFormatting>
  <conditionalFormatting sqref="Z202">
    <cfRule type="cellIs" dxfId="262" priority="471" operator="greaterThan">
      <formula>0</formula>
    </cfRule>
    <cfRule type="cellIs" dxfId="261" priority="472" operator="lessThan">
      <formula>0</formula>
    </cfRule>
  </conditionalFormatting>
  <conditionalFormatting sqref="S202">
    <cfRule type="cellIs" dxfId="260" priority="470" operator="lessThan">
      <formula>0</formula>
    </cfRule>
  </conditionalFormatting>
  <conditionalFormatting sqref="T200:T201">
    <cfRule type="expression" dxfId="259" priority="474">
      <formula>#REF!="Yes"</formula>
    </cfRule>
  </conditionalFormatting>
  <conditionalFormatting sqref="P202">
    <cfRule type="cellIs" dxfId="258" priority="468" operator="equal">
      <formula>AS_DURATION_EFFORT</formula>
    </cfRule>
    <cfRule type="cellIs" dxfId="257" priority="469" operator="equal">
      <formula>AS_DEV_EFFORT</formula>
    </cfRule>
  </conditionalFormatting>
  <conditionalFormatting sqref="B200:B201">
    <cfRule type="expression" dxfId="256" priority="467">
      <formula>AD200&lt;&gt;""</formula>
    </cfRule>
  </conditionalFormatting>
  <conditionalFormatting sqref="F202">
    <cfRule type="expression" dxfId="255" priority="466">
      <formula>$K202&lt;&gt;""</formula>
    </cfRule>
  </conditionalFormatting>
  <conditionalFormatting sqref="C202">
    <cfRule type="expression" dxfId="254" priority="465">
      <formula>$G202&lt;&gt;"-"</formula>
    </cfRule>
  </conditionalFormatting>
  <conditionalFormatting sqref="D202">
    <cfRule type="expression" dxfId="253" priority="464">
      <formula>$H202&lt;&gt;"-"</formula>
    </cfRule>
  </conditionalFormatting>
  <conditionalFormatting sqref="E202">
    <cfRule type="expression" dxfId="252" priority="463">
      <formula>$I202&lt;&gt;"-"</formula>
    </cfRule>
  </conditionalFormatting>
  <conditionalFormatting sqref="B198">
    <cfRule type="expression" dxfId="251" priority="459">
      <formula>AD198&lt;&gt;""</formula>
    </cfRule>
  </conditionalFormatting>
  <conditionalFormatting sqref="Z198">
    <cfRule type="cellIs" dxfId="250" priority="457" operator="greaterThan">
      <formula>0</formula>
    </cfRule>
    <cfRule type="cellIs" dxfId="249" priority="458" operator="lessThan">
      <formula>0</formula>
    </cfRule>
  </conditionalFormatting>
  <conditionalFormatting sqref="S198">
    <cfRule type="cellIs" dxfId="248" priority="456" operator="lessThan">
      <formula>0</formula>
    </cfRule>
  </conditionalFormatting>
  <conditionalFormatting sqref="T196:T197">
    <cfRule type="expression" dxfId="247" priority="460">
      <formula>#REF!="Yes"</formula>
    </cfRule>
  </conditionalFormatting>
  <conditionalFormatting sqref="P198">
    <cfRule type="cellIs" dxfId="246" priority="454" operator="equal">
      <formula>AS_DURATION_EFFORT</formula>
    </cfRule>
    <cfRule type="cellIs" dxfId="245" priority="455" operator="equal">
      <formula>AS_DEV_EFFORT</formula>
    </cfRule>
  </conditionalFormatting>
  <conditionalFormatting sqref="B196:B197">
    <cfRule type="expression" dxfId="244" priority="453">
      <formula>AD196&lt;&gt;""</formula>
    </cfRule>
  </conditionalFormatting>
  <conditionalFormatting sqref="F198">
    <cfRule type="expression" dxfId="243" priority="452">
      <formula>$K198&lt;&gt;""</formula>
    </cfRule>
  </conditionalFormatting>
  <conditionalFormatting sqref="C198">
    <cfRule type="expression" dxfId="242" priority="451">
      <formula>$G198&lt;&gt;"-"</formula>
    </cfRule>
  </conditionalFormatting>
  <conditionalFormatting sqref="D198">
    <cfRule type="expression" dxfId="241" priority="450">
      <formula>$H198&lt;&gt;"-"</formula>
    </cfRule>
  </conditionalFormatting>
  <conditionalFormatting sqref="E198">
    <cfRule type="expression" dxfId="240" priority="449">
      <formula>$I198&lt;&gt;"-"</formula>
    </cfRule>
  </conditionalFormatting>
  <conditionalFormatting sqref="B239">
    <cfRule type="expression" dxfId="239" priority="431">
      <formula>AD239&lt;&gt;""</formula>
    </cfRule>
  </conditionalFormatting>
  <conditionalFormatting sqref="Z239">
    <cfRule type="cellIs" dxfId="238" priority="429" operator="greaterThan">
      <formula>0</formula>
    </cfRule>
    <cfRule type="cellIs" dxfId="237" priority="430" operator="lessThan">
      <formula>0</formula>
    </cfRule>
  </conditionalFormatting>
  <conditionalFormatting sqref="S239">
    <cfRule type="cellIs" dxfId="236" priority="428" operator="lessThan">
      <formula>0</formula>
    </cfRule>
  </conditionalFormatting>
  <conditionalFormatting sqref="T237:T238">
    <cfRule type="expression" dxfId="235" priority="432">
      <formula>#REF!="Yes"</formula>
    </cfRule>
  </conditionalFormatting>
  <conditionalFormatting sqref="P239">
    <cfRule type="cellIs" dxfId="234" priority="426" operator="equal">
      <formula>AS_DURATION_EFFORT</formula>
    </cfRule>
    <cfRule type="cellIs" dxfId="233" priority="427" operator="equal">
      <formula>AS_DEV_EFFORT</formula>
    </cfRule>
  </conditionalFormatting>
  <conditionalFormatting sqref="B237:B238">
    <cfRule type="expression" dxfId="232" priority="425">
      <formula>AD237&lt;&gt;""</formula>
    </cfRule>
  </conditionalFormatting>
  <conditionalFormatting sqref="F239">
    <cfRule type="expression" dxfId="231" priority="424">
      <formula>$K239&lt;&gt;""</formula>
    </cfRule>
  </conditionalFormatting>
  <conditionalFormatting sqref="C239">
    <cfRule type="expression" dxfId="230" priority="423">
      <formula>$G239&lt;&gt;"-"</formula>
    </cfRule>
  </conditionalFormatting>
  <conditionalFormatting sqref="D239">
    <cfRule type="expression" dxfId="229" priority="422">
      <formula>$H239&lt;&gt;"-"</formula>
    </cfRule>
  </conditionalFormatting>
  <conditionalFormatting sqref="E239">
    <cfRule type="expression" dxfId="228" priority="421">
      <formula>$I239&lt;&gt;"-"</formula>
    </cfRule>
  </conditionalFormatting>
  <conditionalFormatting sqref="B235">
    <cfRule type="expression" dxfId="227" priority="417">
      <formula>AD235&lt;&gt;""</formula>
    </cfRule>
  </conditionalFormatting>
  <conditionalFormatting sqref="Z235">
    <cfRule type="cellIs" dxfId="226" priority="415" operator="greaterThan">
      <formula>0</formula>
    </cfRule>
    <cfRule type="cellIs" dxfId="225" priority="416" operator="lessThan">
      <formula>0</formula>
    </cfRule>
  </conditionalFormatting>
  <conditionalFormatting sqref="S235">
    <cfRule type="cellIs" dxfId="224" priority="414" operator="lessThan">
      <formula>0</formula>
    </cfRule>
  </conditionalFormatting>
  <conditionalFormatting sqref="T233:T234">
    <cfRule type="expression" dxfId="223" priority="418">
      <formula>#REF!="Yes"</formula>
    </cfRule>
  </conditionalFormatting>
  <conditionalFormatting sqref="P235">
    <cfRule type="cellIs" dxfId="222" priority="412" operator="equal">
      <formula>AS_DURATION_EFFORT</formula>
    </cfRule>
    <cfRule type="cellIs" dxfId="221" priority="413" operator="equal">
      <formula>AS_DEV_EFFORT</formula>
    </cfRule>
  </conditionalFormatting>
  <conditionalFormatting sqref="B233:B234">
    <cfRule type="expression" dxfId="220" priority="411">
      <formula>AD233&lt;&gt;""</formula>
    </cfRule>
  </conditionalFormatting>
  <conditionalFormatting sqref="F235">
    <cfRule type="expression" dxfId="219" priority="410">
      <formula>$K235&lt;&gt;""</formula>
    </cfRule>
  </conditionalFormatting>
  <conditionalFormatting sqref="C235">
    <cfRule type="expression" dxfId="218" priority="409">
      <formula>$G235&lt;&gt;"-"</formula>
    </cfRule>
  </conditionalFormatting>
  <conditionalFormatting sqref="D235">
    <cfRule type="expression" dxfId="217" priority="408">
      <formula>$H235&lt;&gt;"-"</formula>
    </cfRule>
  </conditionalFormatting>
  <conditionalFormatting sqref="E235">
    <cfRule type="expression" dxfId="216" priority="407">
      <formula>$I235&lt;&gt;"-"</formula>
    </cfRule>
  </conditionalFormatting>
  <conditionalFormatting sqref="B231">
    <cfRule type="expression" dxfId="215" priority="403">
      <formula>AD231&lt;&gt;""</formula>
    </cfRule>
  </conditionalFormatting>
  <conditionalFormatting sqref="Z231">
    <cfRule type="cellIs" dxfId="214" priority="401" operator="greaterThan">
      <formula>0</formula>
    </cfRule>
    <cfRule type="cellIs" dxfId="213" priority="402" operator="lessThan">
      <formula>0</formula>
    </cfRule>
  </conditionalFormatting>
  <conditionalFormatting sqref="S231">
    <cfRule type="cellIs" dxfId="212" priority="400" operator="lessThan">
      <formula>0</formula>
    </cfRule>
  </conditionalFormatting>
  <conditionalFormatting sqref="T229:T230">
    <cfRule type="expression" dxfId="211" priority="404">
      <formula>#REF!="Yes"</formula>
    </cfRule>
  </conditionalFormatting>
  <conditionalFormatting sqref="P231">
    <cfRule type="cellIs" dxfId="210" priority="398" operator="equal">
      <formula>AS_DURATION_EFFORT</formula>
    </cfRule>
    <cfRule type="cellIs" dxfId="209" priority="399" operator="equal">
      <formula>AS_DEV_EFFORT</formula>
    </cfRule>
  </conditionalFormatting>
  <conditionalFormatting sqref="B229:B230">
    <cfRule type="expression" dxfId="208" priority="397">
      <formula>AD229&lt;&gt;""</formula>
    </cfRule>
  </conditionalFormatting>
  <conditionalFormatting sqref="F231">
    <cfRule type="expression" dxfId="207" priority="396">
      <formula>$K231&lt;&gt;""</formula>
    </cfRule>
  </conditionalFormatting>
  <conditionalFormatting sqref="C231">
    <cfRule type="expression" dxfId="206" priority="395">
      <formula>$G231&lt;&gt;"-"</formula>
    </cfRule>
  </conditionalFormatting>
  <conditionalFormatting sqref="D231">
    <cfRule type="expression" dxfId="205" priority="394">
      <formula>$H231&lt;&gt;"-"</formula>
    </cfRule>
  </conditionalFormatting>
  <conditionalFormatting sqref="E231">
    <cfRule type="expression" dxfId="204" priority="393">
      <formula>$I231&lt;&gt;"-"</formula>
    </cfRule>
  </conditionalFormatting>
  <conditionalFormatting sqref="B227">
    <cfRule type="expression" dxfId="203" priority="389">
      <formula>AD227&lt;&gt;""</formula>
    </cfRule>
  </conditionalFormatting>
  <conditionalFormatting sqref="Z227">
    <cfRule type="cellIs" dxfId="202" priority="387" operator="greaterThan">
      <formula>0</formula>
    </cfRule>
    <cfRule type="cellIs" dxfId="201" priority="388" operator="lessThan">
      <formula>0</formula>
    </cfRule>
  </conditionalFormatting>
  <conditionalFormatting sqref="S227">
    <cfRule type="cellIs" dxfId="200" priority="386" operator="lessThan">
      <formula>0</formula>
    </cfRule>
  </conditionalFormatting>
  <conditionalFormatting sqref="T225:T226">
    <cfRule type="expression" dxfId="199" priority="390">
      <formula>#REF!="Yes"</formula>
    </cfRule>
  </conditionalFormatting>
  <conditionalFormatting sqref="P227">
    <cfRule type="cellIs" dxfId="198" priority="384" operator="equal">
      <formula>AS_DURATION_EFFORT</formula>
    </cfRule>
    <cfRule type="cellIs" dxfId="197" priority="385" operator="equal">
      <formula>AS_DEV_EFFORT</formula>
    </cfRule>
  </conditionalFormatting>
  <conditionalFormatting sqref="B225:B226">
    <cfRule type="expression" dxfId="196" priority="383">
      <formula>AD225&lt;&gt;""</formula>
    </cfRule>
  </conditionalFormatting>
  <conditionalFormatting sqref="F227">
    <cfRule type="expression" dxfId="195" priority="382">
      <formula>$K227&lt;&gt;""</formula>
    </cfRule>
  </conditionalFormatting>
  <conditionalFormatting sqref="C227">
    <cfRule type="expression" dxfId="194" priority="381">
      <formula>$G227&lt;&gt;"-"</formula>
    </cfRule>
  </conditionalFormatting>
  <conditionalFormatting sqref="D227">
    <cfRule type="expression" dxfId="193" priority="380">
      <formula>$H227&lt;&gt;"-"</formula>
    </cfRule>
  </conditionalFormatting>
  <conditionalFormatting sqref="E227">
    <cfRule type="expression" dxfId="192" priority="379">
      <formula>$I227&lt;&gt;"-"</formula>
    </cfRule>
  </conditionalFormatting>
  <conditionalFormatting sqref="B223">
    <cfRule type="expression" dxfId="191" priority="375">
      <formula>AD223&lt;&gt;""</formula>
    </cfRule>
  </conditionalFormatting>
  <conditionalFormatting sqref="Z223">
    <cfRule type="cellIs" dxfId="190" priority="373" operator="greaterThan">
      <formula>0</formula>
    </cfRule>
    <cfRule type="cellIs" dxfId="189" priority="374" operator="lessThan">
      <formula>0</formula>
    </cfRule>
  </conditionalFormatting>
  <conditionalFormatting sqref="S223">
    <cfRule type="cellIs" dxfId="188" priority="372" operator="lessThan">
      <formula>0</formula>
    </cfRule>
  </conditionalFormatting>
  <conditionalFormatting sqref="T221:T222">
    <cfRule type="expression" dxfId="187" priority="376">
      <formula>#REF!="Yes"</formula>
    </cfRule>
  </conditionalFormatting>
  <conditionalFormatting sqref="P223">
    <cfRule type="cellIs" dxfId="186" priority="370" operator="equal">
      <formula>AS_DURATION_EFFORT</formula>
    </cfRule>
    <cfRule type="cellIs" dxfId="185" priority="371" operator="equal">
      <formula>AS_DEV_EFFORT</formula>
    </cfRule>
  </conditionalFormatting>
  <conditionalFormatting sqref="B221:B222">
    <cfRule type="expression" dxfId="184" priority="369">
      <formula>AD221&lt;&gt;""</formula>
    </cfRule>
  </conditionalFormatting>
  <conditionalFormatting sqref="F223">
    <cfRule type="expression" dxfId="183" priority="368">
      <formula>$K223&lt;&gt;""</formula>
    </cfRule>
  </conditionalFormatting>
  <conditionalFormatting sqref="C223">
    <cfRule type="expression" dxfId="182" priority="367">
      <formula>$G223&lt;&gt;"-"</formula>
    </cfRule>
  </conditionalFormatting>
  <conditionalFormatting sqref="D223">
    <cfRule type="expression" dxfId="181" priority="366">
      <formula>$H223&lt;&gt;"-"</formula>
    </cfRule>
  </conditionalFormatting>
  <conditionalFormatting sqref="E223">
    <cfRule type="expression" dxfId="180" priority="365">
      <formula>$I223&lt;&gt;"-"</formula>
    </cfRule>
  </conditionalFormatting>
  <conditionalFormatting sqref="B219">
    <cfRule type="expression" dxfId="179" priority="361">
      <formula>AD219&lt;&gt;""</formula>
    </cfRule>
  </conditionalFormatting>
  <conditionalFormatting sqref="Z219">
    <cfRule type="cellIs" dxfId="178" priority="359" operator="greaterThan">
      <formula>0</formula>
    </cfRule>
    <cfRule type="cellIs" dxfId="177" priority="360" operator="lessThan">
      <formula>0</formula>
    </cfRule>
  </conditionalFormatting>
  <conditionalFormatting sqref="S219">
    <cfRule type="cellIs" dxfId="176" priority="358" operator="lessThan">
      <formula>0</formula>
    </cfRule>
  </conditionalFormatting>
  <conditionalFormatting sqref="T217:T218">
    <cfRule type="expression" dxfId="175" priority="362">
      <formula>#REF!="Yes"</formula>
    </cfRule>
  </conditionalFormatting>
  <conditionalFormatting sqref="P219">
    <cfRule type="cellIs" dxfId="174" priority="356" operator="equal">
      <formula>AS_DURATION_EFFORT</formula>
    </cfRule>
    <cfRule type="cellIs" dxfId="173" priority="357" operator="equal">
      <formula>AS_DEV_EFFORT</formula>
    </cfRule>
  </conditionalFormatting>
  <conditionalFormatting sqref="B217:B218">
    <cfRule type="expression" dxfId="172" priority="355">
      <formula>AD217&lt;&gt;""</formula>
    </cfRule>
  </conditionalFormatting>
  <conditionalFormatting sqref="F219">
    <cfRule type="expression" dxfId="171" priority="354">
      <formula>$K219&lt;&gt;""</formula>
    </cfRule>
  </conditionalFormatting>
  <conditionalFormatting sqref="C219">
    <cfRule type="expression" dxfId="170" priority="353">
      <formula>$G219&lt;&gt;"-"</formula>
    </cfRule>
  </conditionalFormatting>
  <conditionalFormatting sqref="D219">
    <cfRule type="expression" dxfId="169" priority="352">
      <formula>$H219&lt;&gt;"-"</formula>
    </cfRule>
  </conditionalFormatting>
  <conditionalFormatting sqref="E219">
    <cfRule type="expression" dxfId="168" priority="351">
      <formula>$I219&lt;&gt;"-"</formula>
    </cfRule>
  </conditionalFormatting>
  <conditionalFormatting sqref="B264">
    <cfRule type="expression" dxfId="167" priority="347">
      <formula>AD264&lt;&gt;""</formula>
    </cfRule>
  </conditionalFormatting>
  <conditionalFormatting sqref="Z264">
    <cfRule type="cellIs" dxfId="166" priority="345" operator="greaterThan">
      <formula>0</formula>
    </cfRule>
    <cfRule type="cellIs" dxfId="165" priority="346" operator="lessThan">
      <formula>0</formula>
    </cfRule>
  </conditionalFormatting>
  <conditionalFormatting sqref="S264">
    <cfRule type="cellIs" dxfId="164" priority="344" operator="lessThan">
      <formula>0</formula>
    </cfRule>
  </conditionalFormatting>
  <conditionalFormatting sqref="T262:T263">
    <cfRule type="expression" dxfId="163" priority="348">
      <formula>#REF!="Yes"</formula>
    </cfRule>
  </conditionalFormatting>
  <conditionalFormatting sqref="P264">
    <cfRule type="cellIs" dxfId="162" priority="342" operator="equal">
      <formula>AS_DURATION_EFFORT</formula>
    </cfRule>
    <cfRule type="cellIs" dxfId="161" priority="343" operator="equal">
      <formula>AS_DEV_EFFORT</formula>
    </cfRule>
  </conditionalFormatting>
  <conditionalFormatting sqref="B262:B263">
    <cfRule type="expression" dxfId="160" priority="341">
      <formula>AD262&lt;&gt;""</formula>
    </cfRule>
  </conditionalFormatting>
  <conditionalFormatting sqref="F264">
    <cfRule type="expression" dxfId="159" priority="340">
      <formula>$K264&lt;&gt;""</formula>
    </cfRule>
  </conditionalFormatting>
  <conditionalFormatting sqref="C264">
    <cfRule type="expression" dxfId="158" priority="339">
      <formula>$G264&lt;&gt;"-"</formula>
    </cfRule>
  </conditionalFormatting>
  <conditionalFormatting sqref="D264">
    <cfRule type="expression" dxfId="157" priority="338">
      <formula>$H264&lt;&gt;"-"</formula>
    </cfRule>
  </conditionalFormatting>
  <conditionalFormatting sqref="E264">
    <cfRule type="expression" dxfId="156" priority="337">
      <formula>$I264&lt;&gt;"-"</formula>
    </cfRule>
  </conditionalFormatting>
  <conditionalFormatting sqref="B260">
    <cfRule type="expression" dxfId="155" priority="333">
      <formula>AD260&lt;&gt;""</formula>
    </cfRule>
  </conditionalFormatting>
  <conditionalFormatting sqref="Z260">
    <cfRule type="cellIs" dxfId="154" priority="331" operator="greaterThan">
      <formula>0</formula>
    </cfRule>
    <cfRule type="cellIs" dxfId="153" priority="332" operator="lessThan">
      <formula>0</formula>
    </cfRule>
  </conditionalFormatting>
  <conditionalFormatting sqref="S260">
    <cfRule type="cellIs" dxfId="152" priority="330" operator="lessThan">
      <formula>0</formula>
    </cfRule>
  </conditionalFormatting>
  <conditionalFormatting sqref="T258:T259">
    <cfRule type="expression" dxfId="151" priority="334">
      <formula>#REF!="Yes"</formula>
    </cfRule>
  </conditionalFormatting>
  <conditionalFormatting sqref="P260">
    <cfRule type="cellIs" dxfId="150" priority="328" operator="equal">
      <formula>AS_DURATION_EFFORT</formula>
    </cfRule>
    <cfRule type="cellIs" dxfId="149" priority="329" operator="equal">
      <formula>AS_DEV_EFFORT</formula>
    </cfRule>
  </conditionalFormatting>
  <conditionalFormatting sqref="B258:B259">
    <cfRule type="expression" dxfId="148" priority="327">
      <formula>AD258&lt;&gt;""</formula>
    </cfRule>
  </conditionalFormatting>
  <conditionalFormatting sqref="F260">
    <cfRule type="expression" dxfId="147" priority="326">
      <formula>$K260&lt;&gt;""</formula>
    </cfRule>
  </conditionalFormatting>
  <conditionalFormatting sqref="C260">
    <cfRule type="expression" dxfId="146" priority="325">
      <formula>$G260&lt;&gt;"-"</formula>
    </cfRule>
  </conditionalFormatting>
  <conditionalFormatting sqref="D260">
    <cfRule type="expression" dxfId="145" priority="324">
      <formula>$H260&lt;&gt;"-"</formula>
    </cfRule>
  </conditionalFormatting>
  <conditionalFormatting sqref="E260">
    <cfRule type="expression" dxfId="144" priority="323">
      <formula>$I260&lt;&gt;"-"</formula>
    </cfRule>
  </conditionalFormatting>
  <conditionalFormatting sqref="B256">
    <cfRule type="expression" dxfId="143" priority="319">
      <formula>AD256&lt;&gt;""</formula>
    </cfRule>
  </conditionalFormatting>
  <conditionalFormatting sqref="Z256">
    <cfRule type="cellIs" dxfId="142" priority="317" operator="greaterThan">
      <formula>0</formula>
    </cfRule>
    <cfRule type="cellIs" dxfId="141" priority="318" operator="lessThan">
      <formula>0</formula>
    </cfRule>
  </conditionalFormatting>
  <conditionalFormatting sqref="S256">
    <cfRule type="cellIs" dxfId="140" priority="316" operator="lessThan">
      <formula>0</formula>
    </cfRule>
  </conditionalFormatting>
  <conditionalFormatting sqref="T254:T255">
    <cfRule type="expression" dxfId="139" priority="320">
      <formula>#REF!="Yes"</formula>
    </cfRule>
  </conditionalFormatting>
  <conditionalFormatting sqref="P256">
    <cfRule type="cellIs" dxfId="138" priority="314" operator="equal">
      <formula>AS_DURATION_EFFORT</formula>
    </cfRule>
    <cfRule type="cellIs" dxfId="137" priority="315" operator="equal">
      <formula>AS_DEV_EFFORT</formula>
    </cfRule>
  </conditionalFormatting>
  <conditionalFormatting sqref="B254:B255">
    <cfRule type="expression" dxfId="136" priority="313">
      <formula>AD254&lt;&gt;""</formula>
    </cfRule>
  </conditionalFormatting>
  <conditionalFormatting sqref="F256">
    <cfRule type="expression" dxfId="135" priority="312">
      <formula>$K256&lt;&gt;""</formula>
    </cfRule>
  </conditionalFormatting>
  <conditionalFormatting sqref="C256">
    <cfRule type="expression" dxfId="134" priority="311">
      <formula>$G256&lt;&gt;"-"</formula>
    </cfRule>
  </conditionalFormatting>
  <conditionalFormatting sqref="D256">
    <cfRule type="expression" dxfId="133" priority="310">
      <formula>$H256&lt;&gt;"-"</formula>
    </cfRule>
  </conditionalFormatting>
  <conditionalFormatting sqref="E256">
    <cfRule type="expression" dxfId="132" priority="309">
      <formula>$I256&lt;&gt;"-"</formula>
    </cfRule>
  </conditionalFormatting>
  <conditionalFormatting sqref="B252">
    <cfRule type="expression" dxfId="131" priority="305">
      <formula>AD252&lt;&gt;""</formula>
    </cfRule>
  </conditionalFormatting>
  <conditionalFormatting sqref="Z252">
    <cfRule type="cellIs" dxfId="130" priority="303" operator="greaterThan">
      <formula>0</formula>
    </cfRule>
    <cfRule type="cellIs" dxfId="129" priority="304" operator="lessThan">
      <formula>0</formula>
    </cfRule>
  </conditionalFormatting>
  <conditionalFormatting sqref="S252">
    <cfRule type="cellIs" dxfId="128" priority="302" operator="lessThan">
      <formula>0</formula>
    </cfRule>
  </conditionalFormatting>
  <conditionalFormatting sqref="T250:T251">
    <cfRule type="expression" dxfId="127" priority="306">
      <formula>#REF!="Yes"</formula>
    </cfRule>
  </conditionalFormatting>
  <conditionalFormatting sqref="P252">
    <cfRule type="cellIs" dxfId="126" priority="300" operator="equal">
      <formula>AS_DURATION_EFFORT</formula>
    </cfRule>
    <cfRule type="cellIs" dxfId="125" priority="301" operator="equal">
      <formula>AS_DEV_EFFORT</formula>
    </cfRule>
  </conditionalFormatting>
  <conditionalFormatting sqref="B250:B251">
    <cfRule type="expression" dxfId="124" priority="299">
      <formula>AD250&lt;&gt;""</formula>
    </cfRule>
  </conditionalFormatting>
  <conditionalFormatting sqref="F252">
    <cfRule type="expression" dxfId="123" priority="298">
      <formula>$K252&lt;&gt;""</formula>
    </cfRule>
  </conditionalFormatting>
  <conditionalFormatting sqref="C252">
    <cfRule type="expression" dxfId="122" priority="297">
      <formula>$G252&lt;&gt;"-"</formula>
    </cfRule>
  </conditionalFormatting>
  <conditionalFormatting sqref="D252">
    <cfRule type="expression" dxfId="121" priority="296">
      <formula>$H252&lt;&gt;"-"</formula>
    </cfRule>
  </conditionalFormatting>
  <conditionalFormatting sqref="E252">
    <cfRule type="expression" dxfId="120" priority="295">
      <formula>$I252&lt;&gt;"-"</formula>
    </cfRule>
  </conditionalFormatting>
  <conditionalFormatting sqref="B248">
    <cfRule type="expression" dxfId="119" priority="291">
      <formula>AD248&lt;&gt;""</formula>
    </cfRule>
  </conditionalFormatting>
  <conditionalFormatting sqref="Z248">
    <cfRule type="cellIs" dxfId="118" priority="289" operator="greaterThan">
      <formula>0</formula>
    </cfRule>
    <cfRule type="cellIs" dxfId="117" priority="290" operator="lessThan">
      <formula>0</formula>
    </cfRule>
  </conditionalFormatting>
  <conditionalFormatting sqref="S248">
    <cfRule type="cellIs" dxfId="116" priority="288" operator="lessThan">
      <formula>0</formula>
    </cfRule>
  </conditionalFormatting>
  <conditionalFormatting sqref="T246:T247">
    <cfRule type="expression" dxfId="115" priority="292">
      <formula>#REF!="Yes"</formula>
    </cfRule>
  </conditionalFormatting>
  <conditionalFormatting sqref="P248">
    <cfRule type="cellIs" dxfId="114" priority="286" operator="equal">
      <formula>AS_DURATION_EFFORT</formula>
    </cfRule>
    <cfRule type="cellIs" dxfId="113" priority="287" operator="equal">
      <formula>AS_DEV_EFFORT</formula>
    </cfRule>
  </conditionalFormatting>
  <conditionalFormatting sqref="B246:B247">
    <cfRule type="expression" dxfId="112" priority="285">
      <formula>AD246&lt;&gt;""</formula>
    </cfRule>
  </conditionalFormatting>
  <conditionalFormatting sqref="F248">
    <cfRule type="expression" dxfId="111" priority="284">
      <formula>$K248&lt;&gt;""</formula>
    </cfRule>
  </conditionalFormatting>
  <conditionalFormatting sqref="C248">
    <cfRule type="expression" dxfId="110" priority="283">
      <formula>$G248&lt;&gt;"-"</formula>
    </cfRule>
  </conditionalFormatting>
  <conditionalFormatting sqref="D248">
    <cfRule type="expression" dxfId="109" priority="282">
      <formula>$H248&lt;&gt;"-"</formula>
    </cfRule>
  </conditionalFormatting>
  <conditionalFormatting sqref="E248">
    <cfRule type="expression" dxfId="108" priority="281">
      <formula>$I248&lt;&gt;"-"</formula>
    </cfRule>
  </conditionalFormatting>
  <conditionalFormatting sqref="B244">
    <cfRule type="expression" dxfId="107" priority="277">
      <formula>AD244&lt;&gt;""</formula>
    </cfRule>
  </conditionalFormatting>
  <conditionalFormatting sqref="Z244">
    <cfRule type="cellIs" dxfId="106" priority="275" operator="greaterThan">
      <formula>0</formula>
    </cfRule>
    <cfRule type="cellIs" dxfId="105" priority="276" operator="lessThan">
      <formula>0</formula>
    </cfRule>
  </conditionalFormatting>
  <conditionalFormatting sqref="S244">
    <cfRule type="cellIs" dxfId="104" priority="274" operator="lessThan">
      <formula>0</formula>
    </cfRule>
  </conditionalFormatting>
  <conditionalFormatting sqref="T242:T243">
    <cfRule type="expression" dxfId="103" priority="278">
      <formula>#REF!="Yes"</formula>
    </cfRule>
  </conditionalFormatting>
  <conditionalFormatting sqref="P244">
    <cfRule type="cellIs" dxfId="102" priority="272" operator="equal">
      <formula>AS_DURATION_EFFORT</formula>
    </cfRule>
    <cfRule type="cellIs" dxfId="101" priority="273" operator="equal">
      <formula>AS_DEV_EFFORT</formula>
    </cfRule>
  </conditionalFormatting>
  <conditionalFormatting sqref="B242:B243">
    <cfRule type="expression" dxfId="100" priority="271">
      <formula>AD242&lt;&gt;""</formula>
    </cfRule>
  </conditionalFormatting>
  <conditionalFormatting sqref="F244">
    <cfRule type="expression" dxfId="99" priority="270">
      <formula>$K244&lt;&gt;""</formula>
    </cfRule>
  </conditionalFormatting>
  <conditionalFormatting sqref="C244">
    <cfRule type="expression" dxfId="98" priority="269">
      <formula>$G244&lt;&gt;"-"</formula>
    </cfRule>
  </conditionalFormatting>
  <conditionalFormatting sqref="D244">
    <cfRule type="expression" dxfId="97" priority="268">
      <formula>$H244&lt;&gt;"-"</formula>
    </cfRule>
  </conditionalFormatting>
  <conditionalFormatting sqref="E244">
    <cfRule type="expression" dxfId="96" priority="267">
      <formula>$I244&lt;&gt;"-"</formula>
    </cfRule>
  </conditionalFormatting>
  <conditionalFormatting sqref="B285">
    <cfRule type="expression" dxfId="95" priority="263">
      <formula>AD285&lt;&gt;""</formula>
    </cfRule>
  </conditionalFormatting>
  <conditionalFormatting sqref="Z285">
    <cfRule type="cellIs" dxfId="94" priority="261" operator="greaterThan">
      <formula>0</formula>
    </cfRule>
    <cfRule type="cellIs" dxfId="93" priority="262" operator="lessThan">
      <formula>0</formula>
    </cfRule>
  </conditionalFormatting>
  <conditionalFormatting sqref="S285">
    <cfRule type="cellIs" dxfId="92" priority="260" operator="lessThan">
      <formula>0</formula>
    </cfRule>
  </conditionalFormatting>
  <conditionalFormatting sqref="T283:T284">
    <cfRule type="expression" dxfId="91" priority="264">
      <formula>#REF!="Yes"</formula>
    </cfRule>
  </conditionalFormatting>
  <conditionalFormatting sqref="P285">
    <cfRule type="cellIs" dxfId="90" priority="258" operator="equal">
      <formula>AS_DURATION_EFFORT</formula>
    </cfRule>
    <cfRule type="cellIs" dxfId="89" priority="259" operator="equal">
      <formula>AS_DEV_EFFORT</formula>
    </cfRule>
  </conditionalFormatting>
  <conditionalFormatting sqref="B283:B284">
    <cfRule type="expression" dxfId="88" priority="257">
      <formula>AD283&lt;&gt;""</formula>
    </cfRule>
  </conditionalFormatting>
  <conditionalFormatting sqref="F285">
    <cfRule type="expression" dxfId="87" priority="256">
      <formula>$K285&lt;&gt;""</formula>
    </cfRule>
  </conditionalFormatting>
  <conditionalFormatting sqref="C285">
    <cfRule type="expression" dxfId="86" priority="255">
      <formula>$G285&lt;&gt;"-"</formula>
    </cfRule>
  </conditionalFormatting>
  <conditionalFormatting sqref="D285">
    <cfRule type="expression" dxfId="85" priority="254">
      <formula>$H285&lt;&gt;"-"</formula>
    </cfRule>
  </conditionalFormatting>
  <conditionalFormatting sqref="E285">
    <cfRule type="expression" dxfId="84" priority="253">
      <formula>$I285&lt;&gt;"-"</formula>
    </cfRule>
  </conditionalFormatting>
  <conditionalFormatting sqref="B281">
    <cfRule type="expression" dxfId="83" priority="249">
      <formula>AD281&lt;&gt;""</formula>
    </cfRule>
  </conditionalFormatting>
  <conditionalFormatting sqref="Z281">
    <cfRule type="cellIs" dxfId="82" priority="247" operator="greaterThan">
      <formula>0</formula>
    </cfRule>
    <cfRule type="cellIs" dxfId="81" priority="248" operator="lessThan">
      <formula>0</formula>
    </cfRule>
  </conditionalFormatting>
  <conditionalFormatting sqref="S281">
    <cfRule type="cellIs" dxfId="80" priority="246" operator="lessThan">
      <formula>0</formula>
    </cfRule>
  </conditionalFormatting>
  <conditionalFormatting sqref="T279:T280">
    <cfRule type="expression" dxfId="79" priority="250">
      <formula>#REF!="Yes"</formula>
    </cfRule>
  </conditionalFormatting>
  <conditionalFormatting sqref="P281">
    <cfRule type="cellIs" dxfId="78" priority="244" operator="equal">
      <formula>AS_DURATION_EFFORT</formula>
    </cfRule>
    <cfRule type="cellIs" dxfId="77" priority="245" operator="equal">
      <formula>AS_DEV_EFFORT</formula>
    </cfRule>
  </conditionalFormatting>
  <conditionalFormatting sqref="B279:B280">
    <cfRule type="expression" dxfId="76" priority="243">
      <formula>AD279&lt;&gt;""</formula>
    </cfRule>
  </conditionalFormatting>
  <conditionalFormatting sqref="F281">
    <cfRule type="expression" dxfId="75" priority="242">
      <formula>$K281&lt;&gt;""</formula>
    </cfRule>
  </conditionalFormatting>
  <conditionalFormatting sqref="C281">
    <cfRule type="expression" dxfId="74" priority="241">
      <formula>$G281&lt;&gt;"-"</formula>
    </cfRule>
  </conditionalFormatting>
  <conditionalFormatting sqref="D281">
    <cfRule type="expression" dxfId="73" priority="240">
      <formula>$H281&lt;&gt;"-"</formula>
    </cfRule>
  </conditionalFormatting>
  <conditionalFormatting sqref="E281">
    <cfRule type="expression" dxfId="72" priority="239">
      <formula>$I281&lt;&gt;"-"</formula>
    </cfRule>
  </conditionalFormatting>
  <conditionalFormatting sqref="B277">
    <cfRule type="expression" dxfId="71" priority="235">
      <formula>AD277&lt;&gt;""</formula>
    </cfRule>
  </conditionalFormatting>
  <conditionalFormatting sqref="Z277">
    <cfRule type="cellIs" dxfId="70" priority="233" operator="greaterThan">
      <formula>0</formula>
    </cfRule>
    <cfRule type="cellIs" dxfId="69" priority="234" operator="lessThan">
      <formula>0</formula>
    </cfRule>
  </conditionalFormatting>
  <conditionalFormatting sqref="S277">
    <cfRule type="cellIs" dxfId="68" priority="232" operator="lessThan">
      <formula>0</formula>
    </cfRule>
  </conditionalFormatting>
  <conditionalFormatting sqref="T275:T276">
    <cfRule type="expression" dxfId="67" priority="236">
      <formula>#REF!="Yes"</formula>
    </cfRule>
  </conditionalFormatting>
  <conditionalFormatting sqref="P277">
    <cfRule type="cellIs" dxfId="66" priority="230" operator="equal">
      <formula>AS_DURATION_EFFORT</formula>
    </cfRule>
    <cfRule type="cellIs" dxfId="65" priority="231" operator="equal">
      <formula>AS_DEV_EFFORT</formula>
    </cfRule>
  </conditionalFormatting>
  <conditionalFormatting sqref="B275:B276">
    <cfRule type="expression" dxfId="64" priority="229">
      <formula>AD275&lt;&gt;""</formula>
    </cfRule>
  </conditionalFormatting>
  <conditionalFormatting sqref="F277">
    <cfRule type="expression" dxfId="63" priority="228">
      <formula>$K277&lt;&gt;""</formula>
    </cfRule>
  </conditionalFormatting>
  <conditionalFormatting sqref="C277">
    <cfRule type="expression" dxfId="62" priority="227">
      <formula>$G277&lt;&gt;"-"</formula>
    </cfRule>
  </conditionalFormatting>
  <conditionalFormatting sqref="D277">
    <cfRule type="expression" dxfId="61" priority="226">
      <formula>$H277&lt;&gt;"-"</formula>
    </cfRule>
  </conditionalFormatting>
  <conditionalFormatting sqref="E277">
    <cfRule type="expression" dxfId="60" priority="225">
      <formula>$I277&lt;&gt;"-"</formula>
    </cfRule>
  </conditionalFormatting>
  <conditionalFormatting sqref="B273">
    <cfRule type="expression" dxfId="59" priority="221">
      <formula>AD273&lt;&gt;""</formula>
    </cfRule>
  </conditionalFormatting>
  <conditionalFormatting sqref="Z273">
    <cfRule type="cellIs" dxfId="58" priority="219" operator="greaterThan">
      <formula>0</formula>
    </cfRule>
    <cfRule type="cellIs" dxfId="57" priority="220" operator="lessThan">
      <formula>0</formula>
    </cfRule>
  </conditionalFormatting>
  <conditionalFormatting sqref="S273">
    <cfRule type="cellIs" dxfId="56" priority="218" operator="lessThan">
      <formula>0</formula>
    </cfRule>
  </conditionalFormatting>
  <conditionalFormatting sqref="T271:T272">
    <cfRule type="expression" dxfId="55" priority="222">
      <formula>#REF!="Yes"</formula>
    </cfRule>
  </conditionalFormatting>
  <conditionalFormatting sqref="P273">
    <cfRule type="cellIs" dxfId="54" priority="216" operator="equal">
      <formula>AS_DURATION_EFFORT</formula>
    </cfRule>
    <cfRule type="cellIs" dxfId="53" priority="217" operator="equal">
      <formula>AS_DEV_EFFORT</formula>
    </cfRule>
  </conditionalFormatting>
  <conditionalFormatting sqref="B271:B272">
    <cfRule type="expression" dxfId="52" priority="215">
      <formula>AD271&lt;&gt;""</formula>
    </cfRule>
  </conditionalFormatting>
  <conditionalFormatting sqref="F273">
    <cfRule type="expression" dxfId="51" priority="214">
      <formula>$K273&lt;&gt;""</formula>
    </cfRule>
  </conditionalFormatting>
  <conditionalFormatting sqref="C273">
    <cfRule type="expression" dxfId="50" priority="213">
      <formula>$G273&lt;&gt;"-"</formula>
    </cfRule>
  </conditionalFormatting>
  <conditionalFormatting sqref="D273">
    <cfRule type="expression" dxfId="49" priority="212">
      <formula>$H273&lt;&gt;"-"</formula>
    </cfRule>
  </conditionalFormatting>
  <conditionalFormatting sqref="E273">
    <cfRule type="expression" dxfId="48" priority="211">
      <formula>$I273&lt;&gt;"-"</formula>
    </cfRule>
  </conditionalFormatting>
  <conditionalFormatting sqref="B269">
    <cfRule type="expression" dxfId="47" priority="207">
      <formula>AD269&lt;&gt;""</formula>
    </cfRule>
  </conditionalFormatting>
  <conditionalFormatting sqref="Z269">
    <cfRule type="cellIs" dxfId="46" priority="205" operator="greaterThan">
      <formula>0</formula>
    </cfRule>
    <cfRule type="cellIs" dxfId="45" priority="206" operator="lessThan">
      <formula>0</formula>
    </cfRule>
  </conditionalFormatting>
  <conditionalFormatting sqref="S269">
    <cfRule type="cellIs" dxfId="44" priority="204" operator="lessThan">
      <formula>0</formula>
    </cfRule>
  </conditionalFormatting>
  <conditionalFormatting sqref="T267:T268">
    <cfRule type="expression" dxfId="43" priority="208">
      <formula>#REF!="Yes"</formula>
    </cfRule>
  </conditionalFormatting>
  <conditionalFormatting sqref="P269">
    <cfRule type="cellIs" dxfId="42" priority="202" operator="equal">
      <formula>AS_DURATION_EFFORT</formula>
    </cfRule>
    <cfRule type="cellIs" dxfId="41" priority="203" operator="equal">
      <formula>AS_DEV_EFFORT</formula>
    </cfRule>
  </conditionalFormatting>
  <conditionalFormatting sqref="B267:B268">
    <cfRule type="expression" dxfId="40" priority="201">
      <formula>AD267&lt;&gt;""</formula>
    </cfRule>
  </conditionalFormatting>
  <conditionalFormatting sqref="F269">
    <cfRule type="expression" dxfId="39" priority="200">
      <formula>$K269&lt;&gt;""</formula>
    </cfRule>
  </conditionalFormatting>
  <conditionalFormatting sqref="C269">
    <cfRule type="expression" dxfId="38" priority="199">
      <formula>$G269&lt;&gt;"-"</formula>
    </cfRule>
  </conditionalFormatting>
  <conditionalFormatting sqref="D269">
    <cfRule type="expression" dxfId="37" priority="198">
      <formula>$H269&lt;&gt;"-"</formula>
    </cfRule>
  </conditionalFormatting>
  <conditionalFormatting sqref="E269">
    <cfRule type="expression" dxfId="36" priority="197">
      <formula>$I269&lt;&gt;"-"</formula>
    </cfRule>
  </conditionalFormatting>
  <conditionalFormatting sqref="B294">
    <cfRule type="expression" dxfId="35" priority="165">
      <formula>AD294&lt;&gt;""</formula>
    </cfRule>
  </conditionalFormatting>
  <conditionalFormatting sqref="Z294">
    <cfRule type="cellIs" dxfId="34" priority="163" operator="greaterThan">
      <formula>0</formula>
    </cfRule>
    <cfRule type="cellIs" dxfId="33" priority="164" operator="lessThan">
      <formula>0</formula>
    </cfRule>
  </conditionalFormatting>
  <conditionalFormatting sqref="S294">
    <cfRule type="cellIs" dxfId="32" priority="162" operator="lessThan">
      <formula>0</formula>
    </cfRule>
  </conditionalFormatting>
  <conditionalFormatting sqref="T292:T293">
    <cfRule type="expression" dxfId="31" priority="166">
      <formula>#REF!="Yes"</formula>
    </cfRule>
  </conditionalFormatting>
  <conditionalFormatting sqref="P294">
    <cfRule type="cellIs" dxfId="30" priority="160" operator="equal">
      <formula>AS_DURATION_EFFORT</formula>
    </cfRule>
    <cfRule type="cellIs" dxfId="29" priority="161" operator="equal">
      <formula>AS_DEV_EFFORT</formula>
    </cfRule>
  </conditionalFormatting>
  <conditionalFormatting sqref="B292:B293">
    <cfRule type="expression" dxfId="28" priority="159">
      <formula>AD292&lt;&gt;""</formula>
    </cfRule>
  </conditionalFormatting>
  <conditionalFormatting sqref="F294">
    <cfRule type="expression" dxfId="27" priority="158">
      <formula>$K294&lt;&gt;""</formula>
    </cfRule>
  </conditionalFormatting>
  <conditionalFormatting sqref="C294">
    <cfRule type="expression" dxfId="26" priority="157">
      <formula>$G294&lt;&gt;"-"</formula>
    </cfRule>
  </conditionalFormatting>
  <conditionalFormatting sqref="D294">
    <cfRule type="expression" dxfId="25" priority="156">
      <formula>$H294&lt;&gt;"-"</formula>
    </cfRule>
  </conditionalFormatting>
  <conditionalFormatting sqref="E294">
    <cfRule type="expression" dxfId="24" priority="155">
      <formula>$I294&lt;&gt;"-"</formula>
    </cfRule>
  </conditionalFormatting>
  <conditionalFormatting sqref="B290">
    <cfRule type="expression" dxfId="23" priority="151">
      <formula>AD290&lt;&gt;""</formula>
    </cfRule>
  </conditionalFormatting>
  <conditionalFormatting sqref="Z290">
    <cfRule type="cellIs" dxfId="22" priority="149" operator="greaterThan">
      <formula>0</formula>
    </cfRule>
    <cfRule type="cellIs" dxfId="21" priority="150" operator="lessThan">
      <formula>0</formula>
    </cfRule>
  </conditionalFormatting>
  <conditionalFormatting sqref="S290">
    <cfRule type="cellIs" dxfId="20" priority="148" operator="lessThan">
      <formula>0</formula>
    </cfRule>
  </conditionalFormatting>
  <conditionalFormatting sqref="T288:T289">
    <cfRule type="expression" dxfId="19" priority="152">
      <formula>#REF!="Yes"</formula>
    </cfRule>
  </conditionalFormatting>
  <conditionalFormatting sqref="P290">
    <cfRule type="cellIs" dxfId="18" priority="146" operator="equal">
      <formula>AS_DURATION_EFFORT</formula>
    </cfRule>
    <cfRule type="cellIs" dxfId="17" priority="147" operator="equal">
      <formula>AS_DEV_EFFORT</formula>
    </cfRule>
  </conditionalFormatting>
  <conditionalFormatting sqref="B288:B289">
    <cfRule type="expression" dxfId="16" priority="145">
      <formula>AD288&lt;&gt;""</formula>
    </cfRule>
  </conditionalFormatting>
  <conditionalFormatting sqref="F290">
    <cfRule type="expression" dxfId="15" priority="144">
      <formula>$K290&lt;&gt;""</formula>
    </cfRule>
  </conditionalFormatting>
  <conditionalFormatting sqref="C290">
    <cfRule type="expression" dxfId="14" priority="143">
      <formula>$G290&lt;&gt;"-"</formula>
    </cfRule>
  </conditionalFormatting>
  <conditionalFormatting sqref="D290">
    <cfRule type="expression" dxfId="13" priority="142">
      <formula>$H290&lt;&gt;"-"</formula>
    </cfRule>
  </conditionalFormatting>
  <conditionalFormatting sqref="E290">
    <cfRule type="expression" dxfId="12" priority="141">
      <formula>$I290&lt;&gt;"-"</formula>
    </cfRule>
  </conditionalFormatting>
  <conditionalFormatting sqref="B194">
    <cfRule type="expression" dxfId="11" priority="25">
      <formula>AD194&lt;&gt;""</formula>
    </cfRule>
  </conditionalFormatting>
  <conditionalFormatting sqref="Z194">
    <cfRule type="cellIs" dxfId="10" priority="23" operator="greaterThan">
      <formula>0</formula>
    </cfRule>
    <cfRule type="cellIs" dxfId="9" priority="24" operator="lessThan">
      <formula>0</formula>
    </cfRule>
  </conditionalFormatting>
  <conditionalFormatting sqref="S194">
    <cfRule type="cellIs" dxfId="8" priority="22" operator="lessThan">
      <formula>0</formula>
    </cfRule>
  </conditionalFormatting>
  <conditionalFormatting sqref="T192:T193">
    <cfRule type="expression" dxfId="7" priority="26">
      <formula>#REF!="Yes"</formula>
    </cfRule>
  </conditionalFormatting>
  <conditionalFormatting sqref="P194">
    <cfRule type="cellIs" dxfId="6" priority="20" operator="equal">
      <formula>AS_DURATION_EFFORT</formula>
    </cfRule>
    <cfRule type="cellIs" dxfId="5" priority="21" operator="equal">
      <formula>AS_DEV_EFFORT</formula>
    </cfRule>
  </conditionalFormatting>
  <conditionalFormatting sqref="B192:B193">
    <cfRule type="expression" dxfId="4" priority="19">
      <formula>AD192&lt;&gt;""</formula>
    </cfRule>
  </conditionalFormatting>
  <conditionalFormatting sqref="F194">
    <cfRule type="expression" dxfId="3" priority="18">
      <formula>$K194&lt;&gt;""</formula>
    </cfRule>
  </conditionalFormatting>
  <conditionalFormatting sqref="C194">
    <cfRule type="expression" dxfId="2" priority="17">
      <formula>$G194&lt;&gt;"-"</formula>
    </cfRule>
  </conditionalFormatting>
  <conditionalFormatting sqref="D194">
    <cfRule type="expression" dxfId="1" priority="16">
      <formula>$H194&lt;&gt;"-"</formula>
    </cfRule>
  </conditionalFormatting>
  <conditionalFormatting sqref="E194">
    <cfRule type="expression" dxfId="0" priority="15">
      <formula>$I194&lt;&gt;"-"</formula>
    </cfRule>
  </conditionalFormatting>
  <dataValidations count="11">
    <dataValidation type="list" allowBlank="1" showInputMessage="1" showErrorMessage="1" sqref="S5" xr:uid="{00000000-0002-0000-0100-000000000000}">
      <formula1>SALES_CALL_SCALE_LIST</formula1>
    </dataValidation>
    <dataValidation type="list" allowBlank="1" showInputMessage="1" showErrorMessage="1" sqref="S6" xr:uid="{00000000-0002-0000-0100-000001000000}">
      <formula1>INCLUDE_OPTIONALS_LIST</formula1>
    </dataValidation>
    <dataValidation type="list" allowBlank="1" showInputMessage="1" showErrorMessage="1" sqref="O476" xr:uid="{00000000-0002-0000-0100-000002000000}">
      <formula1>YES_NO_LIST</formula1>
    </dataValidation>
    <dataValidation type="list" allowBlank="1" showInputMessage="1" showErrorMessage="1" sqref="O473" xr:uid="{00000000-0002-0000-0100-000003000000}">
      <formula1>PLATFORMS_LIST</formula1>
    </dataValidation>
    <dataValidation type="list" allowBlank="1" showInputMessage="1" showErrorMessage="1" sqref="O474" xr:uid="{00000000-0002-0000-0100-000004000000}">
      <formula1>PROJECT_TYPES_LIST</formula1>
    </dataValidation>
    <dataValidation type="list" allowBlank="1" showInputMessage="1" showErrorMessage="1" sqref="O478" xr:uid="{00000000-0002-0000-0100-000005000000}">
      <formula1>CURRENCIES_LIST</formula1>
    </dataValidation>
    <dataValidation type="list" allowBlank="1" showInputMessage="1" showErrorMessage="1" sqref="O477" xr:uid="{00000000-0002-0000-0100-000006000000}">
      <formula1>REGIONS_LIST</formula1>
    </dataValidation>
    <dataValidation type="list" showInputMessage="1" showErrorMessage="1" sqref="G16:G18 G22:G24 G28:G31 G35:G39 G43:G45 G49:G52 G59 G63:G65 G69:G72 G79:G82 G86:G89 G94 G98 G102 G106 G110 G114 G119 G123 G127 G131 G135 G139 G144 G148 G152 G156 G160 G164 G169 G173 G177 G181 G185 G189 G194 G198 G202 G206 G210 G214 G219 G223 G227 G231 G235 G239 G244 G248 G252 G256 G260 G264 G269 G273 G277 G281 G285 G290 G294 G299:G300 G308:G309 G314:G317 G321:G322 G326:G329 G336:G337 G341 G345 G349:G352 G359 G594 J16:J18 J22:J24 J28:J31 J35:J39 J43:J45 J49:J52 J59 J63:J65 J69:J72 J79:J82 J86:J89 J94 J98 J102 J106 J110 J114 J119 J123 J127 J131 J135 J139 J144 J148 J152 J156 J160 J164 J169 J173 J177 J181 J185 J189 J194 J198 J202 J206 J210 J214 J219 J223 J227 J231 J235 J239 J244 J248 J252 J256 J260 J264 J269 J273 J277 J281 J285 J290 J294 J299:J300 J308:J309 J314:J317 J321:J322 J326:J329 J336:J337 J341 J345 J349:J352 J359 J594" xr:uid="{00000000-0002-0000-0100-000007000000}">
      <formula1>YES_NO_LIST</formula1>
    </dataValidation>
    <dataValidation type="list" showInputMessage="1" showErrorMessage="1" sqref="I16:I18 I22:I24 I28:I31 I35:I39 I43:I45 I49:I52 I59 I63:I65 I69:I72 I79:I82 I86:I89 I94 I98 I102 I106 I110 I114 I119 I123 I127 I131 I135 I139 I144 I148 I152 I156 I160 I164 I169 I173 I177 I181 I185 I189 I194 I198 I202 I206 I210 I214 I219 I223 I227 I231 I235 I239 I244 I248 I252 I256 I260 I264 I269 I273 I277 I281 I285 I290 I294 I299:I300 I308:I309 I314:I317 I321:I322 I326:I329 I336:I337 I341 I345 I349:I352 I359 I594" xr:uid="{00000000-0002-0000-0100-000008000000}">
      <formula1>EXTRAS_LIST</formula1>
    </dataValidation>
    <dataValidation type="list" showInputMessage="1" showErrorMessage="1" sqref="H16:H18 H22:H24 H28:H31 H35:H39 H43:H45 H49:H52 H59 H63:H65 H69:H72 H79:H82 H86:H89 H94 H98 H102 H106 H110 H114 H119 H123 H127 H131 H135 H139 H144 H148 H152 H156 H160 H164 H169 H173 H177 H181 H185 H189 H194 H198 H202 H206 H210 H214 H219 H223 H227 H231 H235 H239 H244 H248 H252 H256 H260 H264 H269 H273 H277 H281 H285 H290 H294 H299:H300 H308:H309 H314:H317 H321:H322 H326:H329 H336:H337 H341 H345 H349:H352 H359 H594" xr:uid="{00000000-0002-0000-0100-000009000000}">
      <formula1>BUFFER_TYPES_LIST</formula1>
    </dataValidation>
    <dataValidation type="list" showInputMessage="1" showErrorMessage="1" sqref="S369" xr:uid="{00000000-0002-0000-0100-00000A000000}">
      <formula1>"Default, Extended"</formula1>
    </dataValidation>
  </dataValidations>
  <hyperlinks>
    <hyperlink ref="S9" location="Estimation!V9" tooltip="Copy compact view of WBS as image" display="Compact" xr:uid="{00000000-0004-0000-0100-000000000000}"/>
    <hyperlink ref="T9" location="Estimation!U9" tooltip="Copy full WBS content as image" display="Full" xr:uid="{00000000-0004-0000-0100-000001000000}"/>
    <hyperlink ref="AB9" location="Help!A1" tooltip="Know what, how and why around most frequently asked questions." display="Read Help for more details." xr:uid="{00000000-0004-0000-0100-000002000000}"/>
    <hyperlink ref="C10" location="Estimation!C10" tooltip="Open" display="→" xr:uid="{00000000-0004-0000-0100-000003000000}"/>
    <hyperlink ref="C11" location="Estimation!C11" tooltip="Close" display="←" xr:uid="{00000000-0004-0000-0100-000004000000}"/>
    <hyperlink ref="C12" location="Estimation!C12" tooltip="Collapse All" display="−" xr:uid="{00000000-0004-0000-0100-000005000000}"/>
    <hyperlink ref="F12" location="Estimation!F12" tooltip="Expand All" display="Estimation!F12" xr:uid="{00000000-0004-0000-0100-000006000000}"/>
    <hyperlink ref="T369" location="Estimation!T71" tooltip="Refresh FBS" display="here" xr:uid="{00000000-0004-0000-0100-000007000000}"/>
    <hyperlink ref="T464" location="Schedule!A1" display="click here." xr:uid="{00000000-0004-0000-0100-000008000000}"/>
  </hyperlinks>
  <pageMargins left="0.7" right="0.7" top="0.75" bottom="0.75" header="0.3" footer="0.3"/>
  <pageSetup scale="58" orientation="landscape" horizontalDpi="4294967295" verticalDpi="429496729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3.AddRowsBefore">
                <anchor moveWithCells="1">
                  <from>
                    <xdr:col>11</xdr:col>
                    <xdr:colOff>19050</xdr:colOff>
                    <xdr:row>8</xdr:row>
                    <xdr:rowOff>12700</xdr:rowOff>
                  </from>
                  <to>
                    <xdr:col>13</xdr:col>
                    <xdr:colOff>76200</xdr:colOff>
                    <xdr:row>9</xdr:row>
                    <xdr:rowOff>69850</xdr:rowOff>
                  </to>
                </anchor>
              </controlPr>
            </control>
          </mc:Choice>
        </mc:AlternateContent>
        <mc:AlternateContent xmlns:mc="http://schemas.openxmlformats.org/markup-compatibility/2006">
          <mc:Choice Requires="x14">
            <control shapeId="1026" r:id="rId4" name="Button 2">
              <controlPr defaultSize="0" print="0" autoFill="0" autoPict="0" macro="[0]!Sheet3.AddRows">
                <anchor moveWithCells="1">
                  <from>
                    <xdr:col>13</xdr:col>
                    <xdr:colOff>127000</xdr:colOff>
                    <xdr:row>8</xdr:row>
                    <xdr:rowOff>12700</xdr:rowOff>
                  </from>
                  <to>
                    <xdr:col>13</xdr:col>
                    <xdr:colOff>819150</xdr:colOff>
                    <xdr:row>9</xdr:row>
                    <xdr:rowOff>69850</xdr:rowOff>
                  </to>
                </anchor>
              </controlPr>
            </control>
          </mc:Choice>
        </mc:AlternateContent>
        <mc:AlternateContent xmlns:mc="http://schemas.openxmlformats.org/markup-compatibility/2006">
          <mc:Choice Requires="x14">
            <control shapeId="1027" r:id="rId5" name="Button 3">
              <controlPr defaultSize="0" print="0" autoFill="0" autoPict="0" macro="[0]!Sheet3.RemoveRows">
                <anchor moveWithCells="1">
                  <from>
                    <xdr:col>13</xdr:col>
                    <xdr:colOff>1600200</xdr:colOff>
                    <xdr:row>8</xdr:row>
                    <xdr:rowOff>12700</xdr:rowOff>
                  </from>
                  <to>
                    <xdr:col>13</xdr:col>
                    <xdr:colOff>2298700</xdr:colOff>
                    <xdr:row>9</xdr:row>
                    <xdr:rowOff>69850</xdr:rowOff>
                  </to>
                </anchor>
              </controlPr>
            </control>
          </mc:Choice>
        </mc:AlternateContent>
        <mc:AlternateContent xmlns:mc="http://schemas.openxmlformats.org/markup-compatibility/2006">
          <mc:Choice Requires="x14">
            <control shapeId="1028" r:id="rId6" name="Button 4">
              <controlPr defaultSize="0" print="0" autoFill="0" autoPict="0" macro="[0]!Sheet3.MoveRangeUp">
                <anchor moveWithCells="1">
                  <from>
                    <xdr:col>13</xdr:col>
                    <xdr:colOff>2336800</xdr:colOff>
                    <xdr:row>8</xdr:row>
                    <xdr:rowOff>12700</xdr:rowOff>
                  </from>
                  <to>
                    <xdr:col>14</xdr:col>
                    <xdr:colOff>190500</xdr:colOff>
                    <xdr:row>9</xdr:row>
                    <xdr:rowOff>69850</xdr:rowOff>
                  </to>
                </anchor>
              </controlPr>
            </control>
          </mc:Choice>
        </mc:AlternateContent>
        <mc:AlternateContent xmlns:mc="http://schemas.openxmlformats.org/markup-compatibility/2006">
          <mc:Choice Requires="x14">
            <control shapeId="1029" r:id="rId7" name="Button 5">
              <controlPr defaultSize="0" print="0" autoFill="0" autoPict="0" macro="[0]!Sheet3.MoveRangeDown">
                <anchor moveWithCells="1">
                  <from>
                    <xdr:col>14</xdr:col>
                    <xdr:colOff>190500</xdr:colOff>
                    <xdr:row>8</xdr:row>
                    <xdr:rowOff>12700</xdr:rowOff>
                  </from>
                  <to>
                    <xdr:col>15</xdr:col>
                    <xdr:colOff>12700</xdr:colOff>
                    <xdr:row>9</xdr:row>
                    <xdr:rowOff>69850</xdr:rowOff>
                  </to>
                </anchor>
              </controlPr>
            </control>
          </mc:Choice>
        </mc:AlternateContent>
        <mc:AlternateContent xmlns:mc="http://schemas.openxmlformats.org/markup-compatibility/2006">
          <mc:Choice Requires="x14">
            <control shapeId="1030" r:id="rId8" name="Button 6">
              <controlPr defaultSize="0" print="0" autoFill="0" autoPict="0" macro="[0]!Sheet3.AddModule">
                <anchor moveWithCells="1" sizeWithCells="1">
                  <from>
                    <xdr:col>13</xdr:col>
                    <xdr:colOff>857250</xdr:colOff>
                    <xdr:row>8</xdr:row>
                    <xdr:rowOff>12700</xdr:rowOff>
                  </from>
                  <to>
                    <xdr:col>13</xdr:col>
                    <xdr:colOff>1555750</xdr:colOff>
                    <xdr:row>9</xdr:row>
                    <xdr:rowOff>69850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AL19"/>
  <sheetViews>
    <sheetView zoomScaleNormal="100" workbookViewId="0"/>
  </sheetViews>
  <sheetFormatPr defaultColWidth="3.81640625" defaultRowHeight="14.5" x14ac:dyDescent="0.35"/>
  <cols>
    <col min="2" max="2" width="38.453125" customWidth="1"/>
    <col min="3" max="4" width="3.81640625" customWidth="1"/>
  </cols>
  <sheetData>
    <row r="1" spans="2:38" ht="15" customHeight="1" x14ac:dyDescent="0.35">
      <c r="B1" s="64" t="s">
        <v>524</v>
      </c>
      <c r="C1" s="334">
        <f>START_DATE</f>
        <v>46113</v>
      </c>
      <c r="D1" s="332"/>
      <c r="E1" s="332"/>
      <c r="F1" s="332"/>
      <c r="I1" s="1" t="s">
        <v>525</v>
      </c>
      <c r="L1" s="335">
        <v>41583</v>
      </c>
      <c r="M1" s="332"/>
      <c r="N1" s="332"/>
      <c r="O1" s="332"/>
      <c r="R1" s="124"/>
      <c r="S1" s="124"/>
      <c r="T1" s="124"/>
      <c r="U1" s="124"/>
      <c r="V1" s="124"/>
      <c r="W1" s="124"/>
      <c r="X1" s="124"/>
      <c r="Y1" s="124"/>
      <c r="Z1" s="124"/>
      <c r="AA1" s="124"/>
      <c r="AB1" s="124"/>
      <c r="AC1" s="124"/>
      <c r="AD1" s="124"/>
      <c r="AE1" s="124"/>
      <c r="AF1" s="124"/>
      <c r="AG1" s="124"/>
      <c r="AH1" s="124"/>
      <c r="AI1" s="124"/>
      <c r="AJ1" s="124"/>
    </row>
    <row r="2" spans="2:38" x14ac:dyDescent="0.35">
      <c r="B2" s="125" t="s">
        <v>526</v>
      </c>
      <c r="C2" s="126" t="s">
        <v>527</v>
      </c>
      <c r="Q2" s="124"/>
      <c r="R2" s="124"/>
      <c r="S2" s="124"/>
      <c r="T2" s="124"/>
      <c r="U2" s="124"/>
      <c r="V2" s="124"/>
      <c r="W2" s="124"/>
      <c r="X2" s="124"/>
      <c r="Y2" s="124"/>
      <c r="Z2" s="124"/>
      <c r="AA2" s="124"/>
      <c r="AB2" s="124"/>
      <c r="AC2" s="124"/>
      <c r="AD2" s="124"/>
      <c r="AE2" s="124"/>
      <c r="AF2" s="124"/>
      <c r="AG2" s="124"/>
      <c r="AH2" s="124"/>
      <c r="AI2" s="124"/>
      <c r="AJ2" s="124"/>
    </row>
    <row r="3" spans="2:38" x14ac:dyDescent="0.35">
      <c r="B3" s="64" t="s">
        <v>528</v>
      </c>
      <c r="C3" s="333">
        <v>1</v>
      </c>
      <c r="D3" s="332"/>
      <c r="E3" s="332"/>
      <c r="F3" s="326"/>
      <c r="G3" s="331">
        <f>C3+1</f>
        <v>2</v>
      </c>
      <c r="H3" s="332"/>
      <c r="I3" s="332"/>
      <c r="J3" s="332"/>
      <c r="K3" s="331">
        <f>G3+1</f>
        <v>3</v>
      </c>
      <c r="L3" s="332"/>
      <c r="M3" s="332"/>
      <c r="N3" s="332"/>
      <c r="O3" s="331">
        <f>K3+1</f>
        <v>4</v>
      </c>
      <c r="P3" s="332"/>
      <c r="Q3" s="332"/>
      <c r="R3" s="332"/>
      <c r="S3" s="331">
        <f>O3+1</f>
        <v>5</v>
      </c>
      <c r="T3" s="332"/>
      <c r="U3" s="332"/>
      <c r="V3" s="332"/>
      <c r="W3" s="331">
        <f>S3+1</f>
        <v>6</v>
      </c>
      <c r="X3" s="332"/>
      <c r="Y3" s="332"/>
      <c r="Z3" s="332"/>
      <c r="AA3" s="331">
        <f>W3+1</f>
        <v>7</v>
      </c>
      <c r="AB3" s="332"/>
      <c r="AC3" s="332"/>
      <c r="AD3" s="332"/>
      <c r="AE3" s="331">
        <f>AA3+1</f>
        <v>8</v>
      </c>
      <c r="AF3" s="332"/>
      <c r="AG3" s="332"/>
      <c r="AH3" s="332"/>
      <c r="AI3" s="331">
        <f>AE3+1</f>
        <v>9</v>
      </c>
      <c r="AJ3" s="332"/>
      <c r="AK3" s="332"/>
      <c r="AL3" s="332"/>
    </row>
    <row r="4" spans="2:38" ht="45.75" customHeight="1" x14ac:dyDescent="0.35">
      <c r="B4" s="65" t="s">
        <v>414</v>
      </c>
      <c r="C4" s="66">
        <f>START_DATE</f>
        <v>46113</v>
      </c>
      <c r="D4" s="67">
        <f t="shared" ref="D4:AL4" si="0">WORKDAY(C4,5)</f>
        <v>46120</v>
      </c>
      <c r="E4" s="67">
        <f t="shared" si="0"/>
        <v>46127</v>
      </c>
      <c r="F4" s="68">
        <f t="shared" si="0"/>
        <v>46134</v>
      </c>
      <c r="G4" s="66">
        <f t="shared" si="0"/>
        <v>46141</v>
      </c>
      <c r="H4" s="67">
        <f t="shared" si="0"/>
        <v>46148</v>
      </c>
      <c r="I4" s="67">
        <f t="shared" si="0"/>
        <v>46155</v>
      </c>
      <c r="J4" s="67">
        <f t="shared" si="0"/>
        <v>46162</v>
      </c>
      <c r="K4" s="66">
        <f t="shared" si="0"/>
        <v>46169</v>
      </c>
      <c r="L4" s="67">
        <f t="shared" si="0"/>
        <v>46176</v>
      </c>
      <c r="M4" s="67">
        <f t="shared" si="0"/>
        <v>46183</v>
      </c>
      <c r="N4" s="67">
        <f t="shared" si="0"/>
        <v>46190</v>
      </c>
      <c r="O4" s="66">
        <f t="shared" si="0"/>
        <v>46197</v>
      </c>
      <c r="P4" s="67">
        <f t="shared" si="0"/>
        <v>46204</v>
      </c>
      <c r="Q4" s="67">
        <f t="shared" si="0"/>
        <v>46211</v>
      </c>
      <c r="R4" s="67">
        <f t="shared" si="0"/>
        <v>46218</v>
      </c>
      <c r="S4" s="66">
        <f t="shared" si="0"/>
        <v>46225</v>
      </c>
      <c r="T4" s="67">
        <f t="shared" si="0"/>
        <v>46232</v>
      </c>
      <c r="U4" s="67">
        <f t="shared" si="0"/>
        <v>46239</v>
      </c>
      <c r="V4" s="67">
        <f t="shared" si="0"/>
        <v>46246</v>
      </c>
      <c r="W4" s="66">
        <f t="shared" si="0"/>
        <v>46253</v>
      </c>
      <c r="X4" s="67">
        <f t="shared" si="0"/>
        <v>46260</v>
      </c>
      <c r="Y4" s="67">
        <f t="shared" si="0"/>
        <v>46267</v>
      </c>
      <c r="Z4" s="67">
        <f t="shared" si="0"/>
        <v>46274</v>
      </c>
      <c r="AA4" s="66">
        <f t="shared" si="0"/>
        <v>46281</v>
      </c>
      <c r="AB4" s="67">
        <f t="shared" si="0"/>
        <v>46288</v>
      </c>
      <c r="AC4" s="67">
        <f t="shared" si="0"/>
        <v>46295</v>
      </c>
      <c r="AD4" s="67">
        <f t="shared" si="0"/>
        <v>46302</v>
      </c>
      <c r="AE4" s="66">
        <f t="shared" si="0"/>
        <v>46309</v>
      </c>
      <c r="AF4" s="67">
        <f t="shared" si="0"/>
        <v>46316</v>
      </c>
      <c r="AG4" s="67">
        <f t="shared" si="0"/>
        <v>46323</v>
      </c>
      <c r="AH4" s="67">
        <f t="shared" si="0"/>
        <v>46330</v>
      </c>
      <c r="AI4" s="66">
        <f t="shared" si="0"/>
        <v>46337</v>
      </c>
      <c r="AJ4" s="67">
        <f t="shared" si="0"/>
        <v>46344</v>
      </c>
      <c r="AK4" s="67">
        <f t="shared" si="0"/>
        <v>46351</v>
      </c>
      <c r="AL4" s="67">
        <f t="shared" si="0"/>
        <v>46358</v>
      </c>
    </row>
    <row r="5" spans="2:38" x14ac:dyDescent="0.35">
      <c r="B5" s="117" t="s">
        <v>529</v>
      </c>
      <c r="C5" s="116"/>
      <c r="D5" s="116"/>
      <c r="E5" s="116"/>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row>
    <row r="6" spans="2:38" x14ac:dyDescent="0.35">
      <c r="B6" s="115" t="str">
        <f>Estimation!N455</f>
        <v>Business Requirement Analysis</v>
      </c>
      <c r="C6" s="119"/>
      <c r="D6" s="119"/>
      <c r="E6" s="119"/>
    </row>
    <row r="7" spans="2:38" x14ac:dyDescent="0.35">
      <c r="B7" s="115" t="str">
        <f>Estimation!N456</f>
        <v>System Design &amp; Architecture</v>
      </c>
      <c r="E7" s="120"/>
      <c r="F7" s="120"/>
      <c r="G7" s="120"/>
      <c r="H7" s="120"/>
      <c r="I7" s="120"/>
    </row>
    <row r="8" spans="2:38" x14ac:dyDescent="0.35">
      <c r="B8" s="115" t="str">
        <f>Estimation!N457</f>
        <v>Development &amp; Unit Testing</v>
      </c>
      <c r="H8" s="121"/>
      <c r="I8" s="121"/>
      <c r="J8" s="121"/>
      <c r="K8" s="121"/>
      <c r="L8" s="121"/>
      <c r="M8" s="121"/>
      <c r="N8" s="121"/>
      <c r="O8" s="121"/>
      <c r="P8" s="121"/>
      <c r="Q8" s="121"/>
      <c r="R8" s="121"/>
      <c r="S8" s="121"/>
      <c r="T8" s="121"/>
    </row>
    <row r="9" spans="2:38" x14ac:dyDescent="0.35">
      <c r="B9" s="115" t="str">
        <f>Estimation!N458</f>
        <v>System Testing &amp; Quality Assurance</v>
      </c>
      <c r="Q9" s="122"/>
      <c r="R9" s="122"/>
      <c r="S9" s="122"/>
      <c r="T9" s="122"/>
      <c r="U9" s="122"/>
      <c r="V9" s="122"/>
      <c r="W9" s="122"/>
      <c r="X9" s="122"/>
    </row>
    <row r="10" spans="2:38" x14ac:dyDescent="0.35">
      <c r="B10" s="115" t="str">
        <f>Estimation!N459</f>
        <v>Deployment, UAT &amp; Go-Live</v>
      </c>
      <c r="W10" s="123"/>
      <c r="X10" s="123"/>
      <c r="Y10" s="123"/>
      <c r="Z10" s="123"/>
      <c r="AA10" s="123"/>
    </row>
    <row r="11" spans="2:38" x14ac:dyDescent="0.35">
      <c r="B11" s="115" t="str">
        <f>Estimation!N460</f>
        <v>Project Management &amp; Others</v>
      </c>
      <c r="AA11" s="91"/>
      <c r="AB11" s="91"/>
    </row>
    <row r="12" spans="2:38" x14ac:dyDescent="0.35">
      <c r="B12" s="117" t="s">
        <v>530</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row>
    <row r="13" spans="2:38" x14ac:dyDescent="0.35">
      <c r="B13" s="115" t="s">
        <v>531</v>
      </c>
      <c r="C13" s="118">
        <v>1</v>
      </c>
      <c r="D13" s="118">
        <v>1</v>
      </c>
      <c r="E13" s="118">
        <v>1</v>
      </c>
      <c r="F13" s="118">
        <v>1</v>
      </c>
      <c r="G13" s="118">
        <v>1</v>
      </c>
      <c r="H13" s="118"/>
      <c r="I13" s="118"/>
      <c r="J13" s="118"/>
      <c r="K13" s="118"/>
      <c r="L13" s="118"/>
      <c r="M13" s="118"/>
      <c r="N13" s="118"/>
      <c r="O13" s="118"/>
      <c r="P13" s="118"/>
      <c r="Q13" s="118"/>
      <c r="R13" s="118"/>
      <c r="S13" s="118"/>
      <c r="T13" s="118"/>
      <c r="U13" s="118">
        <v>1</v>
      </c>
      <c r="V13" s="118">
        <v>1</v>
      </c>
      <c r="W13" s="118">
        <v>1</v>
      </c>
      <c r="X13" s="118">
        <v>1</v>
      </c>
      <c r="Y13" s="118"/>
      <c r="Z13" s="118"/>
      <c r="AA13" s="118"/>
      <c r="AB13" s="118"/>
      <c r="AC13" s="118"/>
      <c r="AD13" s="118"/>
      <c r="AE13" s="118"/>
      <c r="AF13" s="118"/>
      <c r="AG13" s="118"/>
      <c r="AH13" s="118"/>
      <c r="AI13" s="118"/>
      <c r="AJ13" s="118"/>
      <c r="AK13" s="118"/>
      <c r="AL13" s="118"/>
    </row>
    <row r="14" spans="2:38" x14ac:dyDescent="0.35">
      <c r="B14" s="115" t="s">
        <v>532</v>
      </c>
      <c r="C14" s="118">
        <v>1</v>
      </c>
      <c r="D14" s="118">
        <v>1</v>
      </c>
      <c r="E14" s="118">
        <v>1</v>
      </c>
      <c r="F14" s="118">
        <v>1</v>
      </c>
      <c r="G14" s="118">
        <v>1</v>
      </c>
      <c r="H14" s="118">
        <v>1</v>
      </c>
      <c r="I14" s="118">
        <v>1</v>
      </c>
      <c r="J14" s="118">
        <v>1</v>
      </c>
      <c r="K14" s="118">
        <v>1</v>
      </c>
      <c r="L14" s="118">
        <v>1</v>
      </c>
      <c r="M14" s="118"/>
      <c r="N14" s="118"/>
      <c r="O14" s="118"/>
      <c r="P14" s="118"/>
      <c r="Q14" s="118"/>
      <c r="R14" s="118"/>
      <c r="S14" s="118"/>
      <c r="T14" s="118"/>
      <c r="U14" s="118"/>
      <c r="V14" s="118"/>
      <c r="W14" s="118"/>
      <c r="X14" s="118"/>
      <c r="Y14" s="118"/>
      <c r="Z14" s="118"/>
      <c r="AA14" s="118"/>
      <c r="AB14" s="118"/>
      <c r="AC14" s="118"/>
      <c r="AD14" s="118"/>
      <c r="AE14" s="118"/>
      <c r="AF14" s="118"/>
      <c r="AG14" s="118"/>
      <c r="AH14" s="118"/>
      <c r="AI14" s="118"/>
      <c r="AJ14" s="118"/>
      <c r="AK14" s="118"/>
      <c r="AL14" s="118"/>
    </row>
    <row r="15" spans="2:38" x14ac:dyDescent="0.35">
      <c r="B15" s="115" t="s">
        <v>533</v>
      </c>
      <c r="C15" s="118"/>
      <c r="D15" s="118"/>
      <c r="E15" s="118">
        <v>1</v>
      </c>
      <c r="F15" s="118">
        <v>1</v>
      </c>
      <c r="G15" s="118">
        <v>1</v>
      </c>
      <c r="H15" s="118">
        <v>1</v>
      </c>
      <c r="I15" s="118">
        <v>1</v>
      </c>
      <c r="J15" s="118">
        <v>1</v>
      </c>
      <c r="K15" s="118">
        <v>1</v>
      </c>
      <c r="L15" s="118">
        <v>1</v>
      </c>
      <c r="M15" s="118">
        <v>1</v>
      </c>
      <c r="N15" s="118">
        <v>1</v>
      </c>
      <c r="O15" s="118">
        <v>1</v>
      </c>
      <c r="P15" s="118">
        <v>1</v>
      </c>
      <c r="Q15" s="118">
        <v>1</v>
      </c>
      <c r="R15" s="118">
        <v>1</v>
      </c>
      <c r="S15" s="118">
        <v>1</v>
      </c>
      <c r="T15" s="118">
        <v>1</v>
      </c>
      <c r="U15" s="118">
        <v>1</v>
      </c>
      <c r="V15" s="118">
        <v>1</v>
      </c>
      <c r="W15" s="118">
        <v>1</v>
      </c>
      <c r="X15" s="118">
        <v>1</v>
      </c>
      <c r="Y15" s="118">
        <v>1</v>
      </c>
      <c r="Z15" s="118">
        <v>1</v>
      </c>
      <c r="AA15" s="118">
        <v>1</v>
      </c>
      <c r="AB15" s="118">
        <v>1</v>
      </c>
      <c r="AC15" s="118"/>
      <c r="AD15" s="118"/>
      <c r="AE15" s="118"/>
      <c r="AF15" s="118"/>
      <c r="AG15" s="118"/>
      <c r="AH15" s="118"/>
      <c r="AI15" s="118"/>
      <c r="AJ15" s="118"/>
      <c r="AK15" s="118"/>
      <c r="AL15" s="118"/>
    </row>
    <row r="16" spans="2:38" x14ac:dyDescent="0.35">
      <c r="B16" s="115" t="s">
        <v>534</v>
      </c>
      <c r="C16" s="118"/>
      <c r="D16" s="118"/>
      <c r="E16" s="118"/>
      <c r="F16" s="118"/>
      <c r="G16" s="118">
        <v>3</v>
      </c>
      <c r="H16" s="118">
        <v>3</v>
      </c>
      <c r="I16" s="118">
        <v>3</v>
      </c>
      <c r="J16" s="118">
        <v>3</v>
      </c>
      <c r="K16" s="118">
        <v>3</v>
      </c>
      <c r="L16" s="118">
        <v>3</v>
      </c>
      <c r="M16" s="118">
        <v>3</v>
      </c>
      <c r="N16" s="118">
        <v>3</v>
      </c>
      <c r="O16" s="118">
        <v>3</v>
      </c>
      <c r="P16" s="118">
        <v>3</v>
      </c>
      <c r="Q16" s="118">
        <v>3</v>
      </c>
      <c r="R16" s="118">
        <v>3</v>
      </c>
      <c r="S16" s="118">
        <v>3</v>
      </c>
      <c r="T16" s="118">
        <v>3</v>
      </c>
      <c r="U16" s="118">
        <v>3</v>
      </c>
      <c r="V16" s="118">
        <v>3</v>
      </c>
      <c r="W16" s="118">
        <v>3</v>
      </c>
      <c r="X16" s="118">
        <v>3</v>
      </c>
      <c r="Y16" s="118"/>
      <c r="Z16" s="118"/>
      <c r="AA16" s="118"/>
      <c r="AB16" s="118"/>
      <c r="AC16" s="118"/>
      <c r="AD16" s="118"/>
      <c r="AE16" s="118"/>
      <c r="AF16" s="118"/>
      <c r="AG16" s="118"/>
      <c r="AH16" s="118"/>
      <c r="AI16" s="118"/>
      <c r="AJ16" s="118"/>
      <c r="AK16" s="118"/>
      <c r="AL16" s="118"/>
    </row>
    <row r="17" spans="2:38" x14ac:dyDescent="0.35">
      <c r="B17" s="115" t="s">
        <v>535</v>
      </c>
      <c r="C17" s="118"/>
      <c r="D17" s="118"/>
      <c r="E17" s="118"/>
      <c r="F17" s="118"/>
      <c r="G17" s="118"/>
      <c r="H17" s="118"/>
      <c r="I17" s="118"/>
      <c r="J17" s="118"/>
      <c r="K17" s="118">
        <v>2</v>
      </c>
      <c r="L17" s="118">
        <v>2</v>
      </c>
      <c r="M17" s="118">
        <v>2</v>
      </c>
      <c r="N17" s="118">
        <v>2</v>
      </c>
      <c r="O17" s="118">
        <v>2</v>
      </c>
      <c r="P17" s="118">
        <v>2</v>
      </c>
      <c r="Q17" s="118">
        <v>2</v>
      </c>
      <c r="R17" s="118">
        <v>2</v>
      </c>
      <c r="S17" s="118">
        <v>2</v>
      </c>
      <c r="T17" s="118">
        <v>2</v>
      </c>
      <c r="U17" s="118">
        <v>2</v>
      </c>
      <c r="V17" s="118">
        <v>2</v>
      </c>
      <c r="W17" s="118">
        <v>2</v>
      </c>
      <c r="X17" s="118">
        <v>2</v>
      </c>
      <c r="Y17" s="118"/>
      <c r="Z17" s="118"/>
      <c r="AA17" s="118"/>
      <c r="AB17" s="118"/>
      <c r="AC17" s="118"/>
      <c r="AD17" s="118"/>
      <c r="AE17" s="118"/>
      <c r="AF17" s="118"/>
      <c r="AG17" s="118"/>
      <c r="AH17" s="118"/>
      <c r="AI17" s="118"/>
      <c r="AJ17" s="118"/>
      <c r="AK17" s="118"/>
      <c r="AL17" s="118"/>
    </row>
    <row r="18" spans="2:38" x14ac:dyDescent="0.35">
      <c r="B18" s="115" t="s">
        <v>536</v>
      </c>
      <c r="C18" s="118"/>
      <c r="D18" s="118"/>
      <c r="E18" s="118"/>
      <c r="F18" s="118"/>
      <c r="G18" s="118"/>
      <c r="H18" s="118"/>
      <c r="I18" s="118"/>
      <c r="J18" s="118"/>
      <c r="K18" s="118"/>
      <c r="L18" s="118"/>
      <c r="M18" s="118"/>
      <c r="N18" s="118"/>
      <c r="O18" s="118">
        <v>1</v>
      </c>
      <c r="P18" s="118">
        <v>1</v>
      </c>
      <c r="Q18" s="118">
        <v>1</v>
      </c>
      <c r="R18" s="118">
        <v>1</v>
      </c>
      <c r="S18" s="118">
        <v>1</v>
      </c>
      <c r="T18" s="118">
        <v>1</v>
      </c>
      <c r="U18" s="118">
        <v>1</v>
      </c>
      <c r="V18" s="118">
        <v>1</v>
      </c>
      <c r="W18" s="118">
        <v>1</v>
      </c>
      <c r="X18" s="118">
        <v>1</v>
      </c>
      <c r="Y18" s="118">
        <v>1</v>
      </c>
      <c r="Z18" s="118">
        <v>1</v>
      </c>
      <c r="AA18" s="118">
        <v>1</v>
      </c>
      <c r="AB18" s="118"/>
      <c r="AC18" s="118"/>
      <c r="AD18" s="118"/>
      <c r="AE18" s="118"/>
      <c r="AF18" s="118"/>
      <c r="AG18" s="118"/>
      <c r="AH18" s="118"/>
      <c r="AI18" s="118"/>
      <c r="AJ18" s="118"/>
      <c r="AK18" s="118"/>
      <c r="AL18" s="118"/>
    </row>
    <row r="19" spans="2:38" x14ac:dyDescent="0.35">
      <c r="B19" t="s">
        <v>537</v>
      </c>
      <c r="C19" s="118">
        <v>1</v>
      </c>
      <c r="D19" s="118">
        <v>1</v>
      </c>
      <c r="E19" s="118">
        <v>1</v>
      </c>
      <c r="F19" s="118">
        <v>1</v>
      </c>
      <c r="G19" s="118"/>
      <c r="H19" s="118"/>
      <c r="I19" s="118"/>
      <c r="J19" s="118"/>
      <c r="K19" s="118"/>
      <c r="L19" s="118"/>
      <c r="M19" s="118"/>
      <c r="N19" s="118"/>
      <c r="O19" s="118"/>
      <c r="P19" s="118"/>
      <c r="Q19" s="118"/>
      <c r="R19" s="118"/>
      <c r="S19" s="118"/>
      <c r="T19" s="118"/>
      <c r="U19" s="118"/>
      <c r="V19" s="118"/>
      <c r="W19" s="118">
        <v>1</v>
      </c>
      <c r="X19" s="118">
        <v>1</v>
      </c>
      <c r="Y19" s="118">
        <v>1</v>
      </c>
      <c r="Z19" s="118">
        <v>1</v>
      </c>
      <c r="AA19" s="118">
        <v>1</v>
      </c>
      <c r="AB19" s="118">
        <v>1</v>
      </c>
      <c r="AC19" s="118"/>
      <c r="AD19" s="118"/>
      <c r="AE19" s="118"/>
      <c r="AF19" s="118"/>
      <c r="AG19" s="118"/>
      <c r="AH19" s="118"/>
      <c r="AI19" s="118"/>
      <c r="AJ19" s="118"/>
      <c r="AK19" s="118"/>
      <c r="AL19" s="118"/>
    </row>
  </sheetData>
  <mergeCells count="11">
    <mergeCell ref="AA3:AD3"/>
    <mergeCell ref="O3:R3"/>
    <mergeCell ref="AE3:AH3"/>
    <mergeCell ref="AI3:AL3"/>
    <mergeCell ref="C1:F1"/>
    <mergeCell ref="L1:O1"/>
    <mergeCell ref="W3:Z3"/>
    <mergeCell ref="S3:V3"/>
    <mergeCell ref="G3:J3"/>
    <mergeCell ref="C3:F3"/>
    <mergeCell ref="K3:N3"/>
  </mergeCells>
  <pageMargins left="0.7" right="0.7" top="0.75" bottom="0.75" header="0.3" footer="0.3"/>
  <pageSetup scale="72"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B1:P119"/>
  <sheetViews>
    <sheetView topLeftCell="A49" workbookViewId="0">
      <selection activeCell="B4" sqref="B4:I4"/>
    </sheetView>
  </sheetViews>
  <sheetFormatPr defaultRowHeight="14.5" x14ac:dyDescent="0.35"/>
  <cols>
    <col min="1" max="1" width="3" customWidth="1"/>
    <col min="2" max="2" width="28" customWidth="1"/>
    <col min="3" max="3" width="18" customWidth="1"/>
    <col min="4" max="8" width="14" customWidth="1"/>
    <col min="9" max="9" width="21" customWidth="1"/>
    <col min="10" max="16" width="14" customWidth="1"/>
  </cols>
  <sheetData>
    <row r="1" spans="2:16" ht="28" customHeight="1" x14ac:dyDescent="0.35">
      <c r="B1" s="338" t="s">
        <v>538</v>
      </c>
      <c r="C1" s="332"/>
      <c r="D1" s="332"/>
      <c r="E1" s="332"/>
      <c r="F1" s="332"/>
      <c r="G1" s="332"/>
      <c r="H1" s="332"/>
      <c r="I1" s="332"/>
      <c r="J1" s="332"/>
      <c r="K1" s="332"/>
      <c r="L1" s="332"/>
      <c r="M1" s="332"/>
      <c r="N1" s="332"/>
      <c r="O1" s="332"/>
      <c r="P1" s="332"/>
    </row>
    <row r="2" spans="2:16" ht="18" customHeight="1" x14ac:dyDescent="0.35">
      <c r="B2" s="337" t="s">
        <v>539</v>
      </c>
      <c r="C2" s="332"/>
      <c r="D2" s="332"/>
      <c r="E2" s="332"/>
      <c r="F2" s="332"/>
      <c r="G2" s="332"/>
      <c r="H2" s="332"/>
      <c r="I2" s="332"/>
      <c r="J2" s="332"/>
      <c r="K2" s="332"/>
      <c r="L2" s="332"/>
      <c r="M2" s="332"/>
      <c r="N2" s="332"/>
      <c r="O2" s="332"/>
      <c r="P2" s="332"/>
    </row>
    <row r="3" spans="2:16" ht="18" customHeight="1" x14ac:dyDescent="0.35"/>
    <row r="4" spans="2:16" ht="22" customHeight="1" x14ac:dyDescent="0.35">
      <c r="B4" s="336" t="s">
        <v>540</v>
      </c>
      <c r="C4" s="336"/>
      <c r="D4" s="336"/>
      <c r="E4" s="336"/>
      <c r="F4" s="336"/>
      <c r="G4" s="336"/>
      <c r="H4" s="336"/>
      <c r="I4" s="336"/>
      <c r="J4" s="352"/>
      <c r="K4" s="352"/>
      <c r="L4" s="352"/>
      <c r="M4" s="352"/>
      <c r="N4" s="352"/>
      <c r="O4" s="352"/>
      <c r="P4" s="352"/>
    </row>
    <row r="5" spans="2:16" ht="30" customHeight="1" x14ac:dyDescent="0.35">
      <c r="B5" s="284" t="s">
        <v>541</v>
      </c>
      <c r="C5" s="284" t="s">
        <v>542</v>
      </c>
      <c r="D5" s="284" t="s">
        <v>543</v>
      </c>
      <c r="E5" s="284" t="s">
        <v>544</v>
      </c>
      <c r="F5" s="284" t="s">
        <v>545</v>
      </c>
      <c r="G5" s="284" t="s">
        <v>546</v>
      </c>
      <c r="H5" s="284" t="s">
        <v>547</v>
      </c>
      <c r="I5" s="284" t="s">
        <v>548</v>
      </c>
    </row>
    <row r="6" spans="2:16" ht="36" x14ac:dyDescent="0.35">
      <c r="B6" s="367" t="s">
        <v>531</v>
      </c>
      <c r="C6" s="368">
        <v>1</v>
      </c>
      <c r="D6" s="369" t="s">
        <v>549</v>
      </c>
      <c r="E6" s="369" t="s">
        <v>549</v>
      </c>
      <c r="F6" s="370"/>
      <c r="G6" s="369" t="s">
        <v>549</v>
      </c>
      <c r="H6" s="369" t="s">
        <v>549</v>
      </c>
      <c r="I6" s="371" t="s">
        <v>550</v>
      </c>
    </row>
    <row r="7" spans="2:16" ht="48" x14ac:dyDescent="0.35">
      <c r="B7" s="367" t="s">
        <v>532</v>
      </c>
      <c r="C7" s="368">
        <v>1</v>
      </c>
      <c r="D7" s="369" t="s">
        <v>549</v>
      </c>
      <c r="E7" s="369" t="s">
        <v>549</v>
      </c>
      <c r="F7" s="369" t="s">
        <v>549</v>
      </c>
      <c r="G7" s="370"/>
      <c r="H7" s="370"/>
      <c r="I7" s="371" t="s">
        <v>551</v>
      </c>
    </row>
    <row r="8" spans="2:16" ht="48" x14ac:dyDescent="0.35">
      <c r="B8" s="367" t="s">
        <v>533</v>
      </c>
      <c r="C8" s="368">
        <v>1</v>
      </c>
      <c r="D8" s="370"/>
      <c r="E8" s="369" t="s">
        <v>549</v>
      </c>
      <c r="F8" s="369" t="s">
        <v>549</v>
      </c>
      <c r="G8" s="369" t="s">
        <v>549</v>
      </c>
      <c r="H8" s="369" t="s">
        <v>549</v>
      </c>
      <c r="I8" s="371" t="s">
        <v>552</v>
      </c>
    </row>
    <row r="9" spans="2:16" ht="36" x14ac:dyDescent="0.35">
      <c r="B9" s="367" t="s">
        <v>553</v>
      </c>
      <c r="C9" s="368">
        <v>3</v>
      </c>
      <c r="D9" s="370"/>
      <c r="E9" s="370"/>
      <c r="F9" s="369" t="s">
        <v>549</v>
      </c>
      <c r="G9" s="369" t="s">
        <v>549</v>
      </c>
      <c r="H9" s="369" t="s">
        <v>549</v>
      </c>
      <c r="I9" s="371" t="s">
        <v>554</v>
      </c>
    </row>
    <row r="10" spans="2:16" ht="36" x14ac:dyDescent="0.35">
      <c r="B10" s="367" t="s">
        <v>555</v>
      </c>
      <c r="C10" s="368">
        <v>2</v>
      </c>
      <c r="D10" s="370"/>
      <c r="E10" s="370"/>
      <c r="F10" s="369" t="s">
        <v>549</v>
      </c>
      <c r="G10" s="369" t="s">
        <v>549</v>
      </c>
      <c r="H10" s="370"/>
      <c r="I10" s="371" t="s">
        <v>556</v>
      </c>
    </row>
    <row r="11" spans="2:16" ht="24" x14ac:dyDescent="0.35">
      <c r="B11" s="367" t="s">
        <v>536</v>
      </c>
      <c r="C11" s="368">
        <v>1</v>
      </c>
      <c r="D11" s="370"/>
      <c r="E11" s="370"/>
      <c r="F11" s="370"/>
      <c r="G11" s="369" t="s">
        <v>549</v>
      </c>
      <c r="H11" s="369" t="s">
        <v>549</v>
      </c>
      <c r="I11" s="371" t="s">
        <v>557</v>
      </c>
    </row>
    <row r="12" spans="2:16" ht="24" x14ac:dyDescent="0.35">
      <c r="B12" s="367" t="s">
        <v>537</v>
      </c>
      <c r="C12" s="368">
        <v>1</v>
      </c>
      <c r="D12" s="369" t="s">
        <v>549</v>
      </c>
      <c r="E12" s="369" t="s">
        <v>549</v>
      </c>
      <c r="F12" s="370"/>
      <c r="G12" s="370"/>
      <c r="H12" s="369" t="s">
        <v>549</v>
      </c>
      <c r="I12" s="371" t="s">
        <v>558</v>
      </c>
    </row>
    <row r="13" spans="2:16" ht="18" customHeight="1" x14ac:dyDescent="0.35">
      <c r="B13" s="372" t="s">
        <v>559</v>
      </c>
      <c r="C13" s="373"/>
      <c r="D13" s="374" t="s">
        <v>560</v>
      </c>
      <c r="E13" s="375"/>
      <c r="F13" s="375"/>
      <c r="G13" s="375"/>
      <c r="H13" s="375"/>
      <c r="I13" s="376"/>
    </row>
    <row r="14" spans="2:16" ht="18" customHeight="1" x14ac:dyDescent="0.35"/>
    <row r="15" spans="2:16" ht="22" customHeight="1" x14ac:dyDescent="0.35">
      <c r="B15" s="336" t="s">
        <v>561</v>
      </c>
      <c r="C15" s="336"/>
      <c r="D15" s="336"/>
      <c r="E15" s="336"/>
      <c r="F15" s="336"/>
      <c r="G15" s="336"/>
      <c r="H15" s="336"/>
      <c r="I15" s="336"/>
      <c r="J15" s="336"/>
      <c r="K15" s="336"/>
      <c r="L15" s="336"/>
      <c r="M15" s="336"/>
      <c r="N15" s="352"/>
      <c r="O15" s="352"/>
      <c r="P15" s="352"/>
    </row>
    <row r="16" spans="2:16" ht="22" customHeight="1" x14ac:dyDescent="0.35">
      <c r="B16" s="284" t="s">
        <v>562</v>
      </c>
      <c r="C16" s="284" t="s">
        <v>414</v>
      </c>
      <c r="D16" s="284" t="s">
        <v>563</v>
      </c>
      <c r="E16" s="284" t="s">
        <v>564</v>
      </c>
      <c r="F16" s="284" t="s">
        <v>565</v>
      </c>
      <c r="G16" s="284" t="s">
        <v>415</v>
      </c>
      <c r="H16" s="284" t="s">
        <v>566</v>
      </c>
      <c r="I16" s="284" t="s">
        <v>417</v>
      </c>
      <c r="J16" s="284" t="s">
        <v>567</v>
      </c>
      <c r="K16" s="284" t="s">
        <v>568</v>
      </c>
      <c r="L16" s="284" t="s">
        <v>419</v>
      </c>
      <c r="M16" s="284" t="s">
        <v>569</v>
      </c>
    </row>
    <row r="17" spans="2:16" ht="32" customHeight="1" x14ac:dyDescent="0.35">
      <c r="B17" s="361" t="s">
        <v>49</v>
      </c>
      <c r="C17" s="362" t="s">
        <v>570</v>
      </c>
      <c r="D17" s="363" t="s">
        <v>571</v>
      </c>
      <c r="E17" s="364" t="s">
        <v>572</v>
      </c>
      <c r="F17" s="364" t="s">
        <v>573</v>
      </c>
      <c r="G17" s="365">
        <v>1</v>
      </c>
      <c r="H17" s="365">
        <v>1</v>
      </c>
      <c r="I17" s="365">
        <v>1</v>
      </c>
      <c r="J17" s="366" t="s">
        <v>574</v>
      </c>
      <c r="K17" s="366" t="s">
        <v>574</v>
      </c>
      <c r="L17" s="366" t="s">
        <v>574</v>
      </c>
    </row>
    <row r="18" spans="2:16" ht="32" customHeight="1" x14ac:dyDescent="0.35">
      <c r="B18" s="361" t="s">
        <v>54</v>
      </c>
      <c r="C18" s="362" t="s">
        <v>575</v>
      </c>
      <c r="D18" s="363" t="s">
        <v>571</v>
      </c>
      <c r="E18" s="364" t="s">
        <v>576</v>
      </c>
      <c r="F18" s="364" t="s">
        <v>577</v>
      </c>
      <c r="G18" s="365">
        <v>1</v>
      </c>
      <c r="H18" s="365">
        <v>1</v>
      </c>
      <c r="I18" s="365">
        <v>1</v>
      </c>
      <c r="J18" s="366" t="s">
        <v>574</v>
      </c>
      <c r="K18" s="366" t="s">
        <v>574</v>
      </c>
      <c r="L18" s="366" t="s">
        <v>574</v>
      </c>
    </row>
    <row r="19" spans="2:16" ht="32" customHeight="1" x14ac:dyDescent="0.35">
      <c r="B19" s="361" t="s">
        <v>118</v>
      </c>
      <c r="C19" s="362" t="s">
        <v>578</v>
      </c>
      <c r="D19" s="363" t="s">
        <v>579</v>
      </c>
      <c r="E19" s="364" t="s">
        <v>580</v>
      </c>
      <c r="F19" s="364" t="s">
        <v>581</v>
      </c>
      <c r="G19" s="366" t="s">
        <v>574</v>
      </c>
      <c r="H19" s="365">
        <v>1</v>
      </c>
      <c r="I19" s="365">
        <v>1</v>
      </c>
      <c r="J19" s="366" t="s">
        <v>574</v>
      </c>
      <c r="K19" s="366" t="s">
        <v>574</v>
      </c>
      <c r="L19" s="366" t="s">
        <v>574</v>
      </c>
    </row>
    <row r="20" spans="2:16" ht="32" customHeight="1" x14ac:dyDescent="0.35">
      <c r="B20" s="361" t="s">
        <v>582</v>
      </c>
      <c r="C20" s="362" t="s">
        <v>583</v>
      </c>
      <c r="D20" s="363" t="s">
        <v>579</v>
      </c>
      <c r="E20" s="364" t="s">
        <v>584</v>
      </c>
      <c r="F20" s="364" t="s">
        <v>585</v>
      </c>
      <c r="G20" s="366" t="s">
        <v>574</v>
      </c>
      <c r="H20" s="365">
        <v>1</v>
      </c>
      <c r="I20" s="365">
        <v>1</v>
      </c>
      <c r="J20" s="365">
        <v>1</v>
      </c>
      <c r="K20" s="366" t="s">
        <v>574</v>
      </c>
      <c r="L20" s="366" t="s">
        <v>574</v>
      </c>
    </row>
    <row r="21" spans="2:16" ht="32" customHeight="1" x14ac:dyDescent="0.35">
      <c r="B21" s="361" t="s">
        <v>586</v>
      </c>
      <c r="C21" s="362" t="s">
        <v>587</v>
      </c>
      <c r="D21" s="363" t="s">
        <v>588</v>
      </c>
      <c r="E21" s="364" t="s">
        <v>589</v>
      </c>
      <c r="F21" s="364" t="s">
        <v>590</v>
      </c>
      <c r="G21" s="366" t="s">
        <v>574</v>
      </c>
      <c r="H21" s="366" t="s">
        <v>574</v>
      </c>
      <c r="I21" s="365">
        <v>1</v>
      </c>
      <c r="J21" s="365">
        <v>3</v>
      </c>
      <c r="K21" s="365">
        <v>2</v>
      </c>
      <c r="L21" s="366" t="s">
        <v>574</v>
      </c>
    </row>
    <row r="22" spans="2:16" ht="32" customHeight="1" x14ac:dyDescent="0.35">
      <c r="B22" s="361" t="s">
        <v>591</v>
      </c>
      <c r="C22" s="362" t="s">
        <v>592</v>
      </c>
      <c r="D22" s="363" t="s">
        <v>588</v>
      </c>
      <c r="E22" s="364" t="s">
        <v>593</v>
      </c>
      <c r="F22" s="364" t="s">
        <v>594</v>
      </c>
      <c r="G22" s="366" t="s">
        <v>574</v>
      </c>
      <c r="H22" s="366" t="s">
        <v>574</v>
      </c>
      <c r="I22" s="365">
        <v>1</v>
      </c>
      <c r="J22" s="365">
        <v>3</v>
      </c>
      <c r="K22" s="365">
        <v>2</v>
      </c>
      <c r="L22" s="366" t="s">
        <v>574</v>
      </c>
    </row>
    <row r="23" spans="2:16" ht="32" customHeight="1" x14ac:dyDescent="0.35">
      <c r="B23" s="361" t="s">
        <v>595</v>
      </c>
      <c r="C23" s="362" t="s">
        <v>596</v>
      </c>
      <c r="D23" s="363" t="s">
        <v>588</v>
      </c>
      <c r="E23" s="364" t="s">
        <v>597</v>
      </c>
      <c r="F23" s="364" t="s">
        <v>598</v>
      </c>
      <c r="G23" s="366" t="s">
        <v>574</v>
      </c>
      <c r="H23" s="366" t="s">
        <v>574</v>
      </c>
      <c r="I23" s="365">
        <v>1</v>
      </c>
      <c r="J23" s="365">
        <v>3</v>
      </c>
      <c r="K23" s="365">
        <v>2</v>
      </c>
      <c r="L23" s="365">
        <v>1</v>
      </c>
    </row>
    <row r="24" spans="2:16" ht="32" customHeight="1" x14ac:dyDescent="0.35">
      <c r="B24" s="361" t="s">
        <v>599</v>
      </c>
      <c r="C24" s="362" t="s">
        <v>600</v>
      </c>
      <c r="D24" s="363" t="s">
        <v>588</v>
      </c>
      <c r="E24" s="364" t="s">
        <v>601</v>
      </c>
      <c r="F24" s="364" t="s">
        <v>602</v>
      </c>
      <c r="G24" s="366" t="s">
        <v>574</v>
      </c>
      <c r="H24" s="366" t="s">
        <v>574</v>
      </c>
      <c r="I24" s="365">
        <v>1</v>
      </c>
      <c r="J24" s="365">
        <v>3</v>
      </c>
      <c r="K24" s="365">
        <v>2</v>
      </c>
      <c r="L24" s="365">
        <v>1</v>
      </c>
    </row>
    <row r="25" spans="2:16" ht="32" customHeight="1" x14ac:dyDescent="0.35">
      <c r="B25" s="361" t="s">
        <v>603</v>
      </c>
      <c r="C25" s="362" t="s">
        <v>604</v>
      </c>
      <c r="D25" s="363" t="s">
        <v>588</v>
      </c>
      <c r="E25" s="364" t="s">
        <v>605</v>
      </c>
      <c r="F25" s="364" t="s">
        <v>606</v>
      </c>
      <c r="G25" s="366" t="s">
        <v>574</v>
      </c>
      <c r="H25" s="366" t="s">
        <v>574</v>
      </c>
      <c r="I25" s="365">
        <v>1</v>
      </c>
      <c r="J25" s="365">
        <v>3</v>
      </c>
      <c r="K25" s="365">
        <v>2</v>
      </c>
      <c r="L25" s="365">
        <v>1</v>
      </c>
    </row>
    <row r="26" spans="2:16" ht="32" customHeight="1" x14ac:dyDescent="0.35">
      <c r="B26" s="361" t="s">
        <v>607</v>
      </c>
      <c r="C26" s="362" t="s">
        <v>608</v>
      </c>
      <c r="D26" s="363" t="s">
        <v>609</v>
      </c>
      <c r="E26" s="364" t="s">
        <v>610</v>
      </c>
      <c r="F26" s="364" t="s">
        <v>611</v>
      </c>
      <c r="G26" s="365">
        <v>1</v>
      </c>
      <c r="H26" s="366" t="s">
        <v>574</v>
      </c>
      <c r="I26" s="365">
        <v>1</v>
      </c>
      <c r="J26" s="365">
        <v>2</v>
      </c>
      <c r="K26" s="365">
        <v>1</v>
      </c>
      <c r="L26" s="365">
        <v>1</v>
      </c>
    </row>
    <row r="27" spans="2:16" ht="32" customHeight="1" x14ac:dyDescent="0.35">
      <c r="B27" s="361" t="s">
        <v>612</v>
      </c>
      <c r="C27" s="362" t="s">
        <v>613</v>
      </c>
      <c r="D27" s="363" t="s">
        <v>614</v>
      </c>
      <c r="E27" s="364" t="s">
        <v>615</v>
      </c>
      <c r="F27" s="364" t="s">
        <v>616</v>
      </c>
      <c r="G27" s="366" t="s">
        <v>574</v>
      </c>
      <c r="H27" s="366" t="s">
        <v>574</v>
      </c>
      <c r="I27" s="365">
        <v>1</v>
      </c>
      <c r="J27" s="365">
        <v>2</v>
      </c>
      <c r="K27" s="366" t="s">
        <v>574</v>
      </c>
      <c r="L27" s="365">
        <v>1</v>
      </c>
    </row>
    <row r="28" spans="2:16" ht="32" customHeight="1" x14ac:dyDescent="0.35">
      <c r="B28" s="361" t="s">
        <v>617</v>
      </c>
      <c r="C28" s="362" t="s">
        <v>618</v>
      </c>
      <c r="D28" s="363" t="s">
        <v>619</v>
      </c>
      <c r="E28" s="364" t="s">
        <v>620</v>
      </c>
      <c r="F28" s="364" t="s">
        <v>621</v>
      </c>
      <c r="G28" s="365">
        <v>1</v>
      </c>
      <c r="H28" s="366" t="s">
        <v>574</v>
      </c>
      <c r="I28" s="365">
        <v>1</v>
      </c>
      <c r="J28" s="365">
        <v>2</v>
      </c>
      <c r="K28" s="366" t="s">
        <v>574</v>
      </c>
      <c r="L28" s="365">
        <v>1</v>
      </c>
    </row>
    <row r="29" spans="2:16" ht="32" customHeight="1" x14ac:dyDescent="0.35">
      <c r="B29" s="361" t="s">
        <v>622</v>
      </c>
      <c r="C29" s="362" t="s">
        <v>623</v>
      </c>
      <c r="D29" s="363" t="s">
        <v>619</v>
      </c>
      <c r="E29" s="364" t="s">
        <v>624</v>
      </c>
      <c r="F29" s="364" t="s">
        <v>625</v>
      </c>
      <c r="G29" s="366" t="s">
        <v>574</v>
      </c>
      <c r="H29" s="366" t="s">
        <v>574</v>
      </c>
      <c r="I29" s="365">
        <v>1</v>
      </c>
      <c r="J29" s="366" t="s">
        <v>574</v>
      </c>
      <c r="K29" s="366" t="s">
        <v>574</v>
      </c>
      <c r="L29" s="366" t="s">
        <v>574</v>
      </c>
    </row>
    <row r="30" spans="2:16" ht="18" customHeight="1" x14ac:dyDescent="0.35"/>
    <row r="31" spans="2:16" ht="18" customHeight="1" x14ac:dyDescent="0.35"/>
    <row r="32" spans="2:16" ht="22" customHeight="1" x14ac:dyDescent="0.35">
      <c r="B32" s="336" t="s">
        <v>626</v>
      </c>
      <c r="C32" s="336"/>
      <c r="D32" s="336"/>
      <c r="E32" s="336"/>
      <c r="F32" s="336"/>
      <c r="G32" s="336"/>
      <c r="H32" s="352"/>
      <c r="I32" s="352"/>
      <c r="J32" s="352"/>
      <c r="K32" s="352"/>
      <c r="L32" s="352"/>
      <c r="M32" s="352"/>
      <c r="N32" s="352"/>
      <c r="O32" s="352"/>
      <c r="P32" s="352"/>
    </row>
    <row r="33" spans="2:16" ht="22" customHeight="1" x14ac:dyDescent="0.35">
      <c r="B33" s="284" t="s">
        <v>563</v>
      </c>
      <c r="C33" s="284" t="s">
        <v>627</v>
      </c>
      <c r="D33" s="284" t="s">
        <v>41</v>
      </c>
      <c r="E33" s="284" t="s">
        <v>628</v>
      </c>
      <c r="F33" s="284" t="s">
        <v>629</v>
      </c>
      <c r="G33" s="284" t="s">
        <v>630</v>
      </c>
    </row>
    <row r="34" spans="2:16" ht="22" customHeight="1" x14ac:dyDescent="0.35">
      <c r="B34" s="353" t="s">
        <v>571</v>
      </c>
      <c r="C34" s="354" t="s">
        <v>631</v>
      </c>
      <c r="D34" s="354" t="s">
        <v>632</v>
      </c>
      <c r="E34" s="355" t="s">
        <v>633</v>
      </c>
      <c r="F34" s="355" t="s">
        <v>634</v>
      </c>
      <c r="G34" s="355" t="s">
        <v>635</v>
      </c>
    </row>
    <row r="35" spans="2:16" ht="22" customHeight="1" x14ac:dyDescent="0.35">
      <c r="B35" s="353" t="s">
        <v>636</v>
      </c>
      <c r="C35" s="354" t="s">
        <v>631</v>
      </c>
      <c r="D35" s="354" t="s">
        <v>637</v>
      </c>
      <c r="E35" s="355" t="s">
        <v>638</v>
      </c>
      <c r="F35" s="355" t="s">
        <v>639</v>
      </c>
      <c r="G35" s="355" t="s">
        <v>640</v>
      </c>
    </row>
    <row r="36" spans="2:16" ht="22" customHeight="1" x14ac:dyDescent="0.35">
      <c r="B36" s="353" t="s">
        <v>588</v>
      </c>
      <c r="C36" s="354" t="s">
        <v>641</v>
      </c>
      <c r="D36" s="354" t="s">
        <v>642</v>
      </c>
      <c r="E36" s="355" t="s">
        <v>643</v>
      </c>
      <c r="F36" s="355" t="s">
        <v>644</v>
      </c>
      <c r="G36" s="355" t="s">
        <v>645</v>
      </c>
    </row>
    <row r="37" spans="2:16" ht="22" customHeight="1" x14ac:dyDescent="0.35">
      <c r="B37" s="353" t="s">
        <v>646</v>
      </c>
      <c r="C37" s="354" t="s">
        <v>647</v>
      </c>
      <c r="D37" s="354" t="s">
        <v>632</v>
      </c>
      <c r="E37" s="355" t="s">
        <v>633</v>
      </c>
      <c r="F37" s="355" t="s">
        <v>648</v>
      </c>
      <c r="G37" s="355" t="s">
        <v>649</v>
      </c>
    </row>
    <row r="38" spans="2:16" ht="22" customHeight="1" x14ac:dyDescent="0.35">
      <c r="B38" s="353" t="s">
        <v>650</v>
      </c>
      <c r="C38" s="354" t="s">
        <v>631</v>
      </c>
      <c r="D38" s="354" t="s">
        <v>651</v>
      </c>
      <c r="E38" s="355" t="s">
        <v>652</v>
      </c>
      <c r="F38" s="355" t="s">
        <v>653</v>
      </c>
      <c r="G38" s="355" t="s">
        <v>654</v>
      </c>
    </row>
    <row r="39" spans="2:16" ht="22" customHeight="1" x14ac:dyDescent="0.35">
      <c r="B39" s="353" t="s">
        <v>655</v>
      </c>
      <c r="C39" s="354" t="s">
        <v>656</v>
      </c>
      <c r="D39" s="354" t="s">
        <v>657</v>
      </c>
      <c r="E39" s="355" t="s">
        <v>658</v>
      </c>
      <c r="F39" s="355" t="s">
        <v>659</v>
      </c>
      <c r="G39" s="355" t="s">
        <v>660</v>
      </c>
    </row>
    <row r="40" spans="2:16" ht="22" customHeight="1" x14ac:dyDescent="0.35">
      <c r="B40" s="285" t="s">
        <v>661</v>
      </c>
      <c r="C40" s="285" t="s">
        <v>662</v>
      </c>
      <c r="D40" s="285" t="s">
        <v>663</v>
      </c>
      <c r="E40" s="286" t="s">
        <v>664</v>
      </c>
      <c r="F40" s="286" t="s">
        <v>560</v>
      </c>
      <c r="G40" s="286"/>
    </row>
    <row r="41" spans="2:16" ht="18" customHeight="1" x14ac:dyDescent="0.35"/>
    <row r="42" spans="2:16" ht="18" customHeight="1" x14ac:dyDescent="0.35"/>
    <row r="43" spans="2:16" ht="18" customHeight="1" x14ac:dyDescent="0.35"/>
    <row r="44" spans="2:16" ht="18" customHeight="1" x14ac:dyDescent="0.35"/>
    <row r="45" spans="2:16" ht="22" customHeight="1" x14ac:dyDescent="0.35">
      <c r="B45" s="336" t="s">
        <v>665</v>
      </c>
      <c r="C45" s="332"/>
      <c r="D45" s="332"/>
      <c r="E45" s="332"/>
      <c r="F45" s="332"/>
      <c r="G45" s="332"/>
      <c r="H45" s="332"/>
      <c r="I45" s="332"/>
      <c r="J45" s="332"/>
      <c r="K45" s="332"/>
      <c r="L45" s="332"/>
      <c r="M45" s="332"/>
      <c r="N45" s="332"/>
      <c r="O45" s="332"/>
      <c r="P45" s="332"/>
    </row>
    <row r="46" spans="2:16" ht="22" customHeight="1" x14ac:dyDescent="0.35">
      <c r="B46" s="356" t="s">
        <v>666</v>
      </c>
      <c r="C46" s="357" t="s">
        <v>667</v>
      </c>
      <c r="D46" s="358"/>
      <c r="E46" s="358"/>
      <c r="F46" s="358"/>
      <c r="G46" s="358"/>
      <c r="H46" s="358"/>
      <c r="I46" s="358"/>
      <c r="J46" s="358"/>
      <c r="K46" s="358"/>
      <c r="L46" s="358"/>
      <c r="M46" s="358"/>
      <c r="N46" s="358"/>
      <c r="O46" s="358"/>
      <c r="P46" s="359"/>
    </row>
    <row r="47" spans="2:16" ht="22" customHeight="1" x14ac:dyDescent="0.35">
      <c r="B47" s="356" t="s">
        <v>666</v>
      </c>
      <c r="C47" s="357" t="s">
        <v>668</v>
      </c>
      <c r="D47" s="358"/>
      <c r="E47" s="358"/>
      <c r="F47" s="358"/>
      <c r="G47" s="358"/>
      <c r="H47" s="358"/>
      <c r="I47" s="358"/>
      <c r="J47" s="358"/>
      <c r="K47" s="358"/>
      <c r="L47" s="358"/>
      <c r="M47" s="358"/>
      <c r="N47" s="358"/>
      <c r="O47" s="358"/>
      <c r="P47" s="359"/>
    </row>
    <row r="48" spans="2:16" ht="22" customHeight="1" x14ac:dyDescent="0.35">
      <c r="B48" s="356" t="s">
        <v>666</v>
      </c>
      <c r="C48" s="357" t="s">
        <v>669</v>
      </c>
      <c r="D48" s="358"/>
      <c r="E48" s="358"/>
      <c r="F48" s="358"/>
      <c r="G48" s="358"/>
      <c r="H48" s="358"/>
      <c r="I48" s="358"/>
      <c r="J48" s="358"/>
      <c r="K48" s="358"/>
      <c r="L48" s="358"/>
      <c r="M48" s="358"/>
      <c r="N48" s="358"/>
      <c r="O48" s="358"/>
      <c r="P48" s="359"/>
    </row>
    <row r="49" spans="2:16" ht="22" customHeight="1" x14ac:dyDescent="0.35">
      <c r="B49" s="356" t="s">
        <v>666</v>
      </c>
      <c r="C49" s="357" t="s">
        <v>670</v>
      </c>
      <c r="D49" s="358"/>
      <c r="E49" s="358"/>
      <c r="F49" s="358"/>
      <c r="G49" s="358"/>
      <c r="H49" s="358"/>
      <c r="I49" s="358"/>
      <c r="J49" s="358"/>
      <c r="K49" s="358"/>
      <c r="L49" s="358"/>
      <c r="M49" s="358"/>
      <c r="N49" s="358"/>
      <c r="O49" s="358"/>
      <c r="P49" s="359"/>
    </row>
    <row r="50" spans="2:16" ht="22" customHeight="1" x14ac:dyDescent="0.35">
      <c r="B50" s="356" t="s">
        <v>666</v>
      </c>
      <c r="C50" s="357" t="s">
        <v>671</v>
      </c>
      <c r="D50" s="358"/>
      <c r="E50" s="358"/>
      <c r="F50" s="358"/>
      <c r="G50" s="358"/>
      <c r="H50" s="358"/>
      <c r="I50" s="358"/>
      <c r="J50" s="358"/>
      <c r="K50" s="358"/>
      <c r="L50" s="358"/>
      <c r="M50" s="358"/>
      <c r="N50" s="358"/>
      <c r="O50" s="358"/>
      <c r="P50" s="359"/>
    </row>
    <row r="51" spans="2:16" ht="22" customHeight="1" x14ac:dyDescent="0.35">
      <c r="B51" s="356" t="s">
        <v>666</v>
      </c>
      <c r="C51" s="357" t="s">
        <v>672</v>
      </c>
      <c r="D51" s="358"/>
      <c r="E51" s="358"/>
      <c r="F51" s="358"/>
      <c r="G51" s="358"/>
      <c r="H51" s="358"/>
      <c r="I51" s="358"/>
      <c r="J51" s="358"/>
      <c r="K51" s="358"/>
      <c r="L51" s="358"/>
      <c r="M51" s="358"/>
      <c r="N51" s="358"/>
      <c r="O51" s="358"/>
      <c r="P51" s="359"/>
    </row>
    <row r="52" spans="2:16" ht="22" customHeight="1" x14ac:dyDescent="0.35">
      <c r="B52" s="360" t="s">
        <v>673</v>
      </c>
      <c r="C52" s="357" t="s">
        <v>674</v>
      </c>
      <c r="D52" s="358"/>
      <c r="E52" s="358"/>
      <c r="F52" s="358"/>
      <c r="G52" s="358"/>
      <c r="H52" s="358"/>
      <c r="I52" s="358"/>
      <c r="J52" s="358"/>
      <c r="K52" s="358"/>
      <c r="L52" s="358"/>
      <c r="M52" s="358"/>
      <c r="N52" s="358"/>
      <c r="O52" s="358"/>
      <c r="P52" s="359"/>
    </row>
    <row r="53" spans="2:16" ht="22" customHeight="1" x14ac:dyDescent="0.35">
      <c r="B53" s="360" t="s">
        <v>673</v>
      </c>
      <c r="C53" s="357" t="s">
        <v>675</v>
      </c>
      <c r="D53" s="358"/>
      <c r="E53" s="358"/>
      <c r="F53" s="358"/>
      <c r="G53" s="358"/>
      <c r="H53" s="358"/>
      <c r="I53" s="358"/>
      <c r="J53" s="358"/>
      <c r="K53" s="358"/>
      <c r="L53" s="358"/>
      <c r="M53" s="358"/>
      <c r="N53" s="358"/>
      <c r="O53" s="358"/>
      <c r="P53" s="359"/>
    </row>
    <row r="54" spans="2:16" ht="22" customHeight="1" x14ac:dyDescent="0.35">
      <c r="B54" s="360" t="s">
        <v>673</v>
      </c>
      <c r="C54" s="357" t="s">
        <v>676</v>
      </c>
      <c r="D54" s="358"/>
      <c r="E54" s="358"/>
      <c r="F54" s="358"/>
      <c r="G54" s="358"/>
      <c r="H54" s="358"/>
      <c r="I54" s="358"/>
      <c r="J54" s="358"/>
      <c r="K54" s="358"/>
      <c r="L54" s="358"/>
      <c r="M54" s="358"/>
      <c r="N54" s="358"/>
      <c r="O54" s="358"/>
      <c r="P54" s="359"/>
    </row>
    <row r="55" spans="2:16" ht="22" customHeight="1" x14ac:dyDescent="0.35">
      <c r="B55" s="360" t="s">
        <v>673</v>
      </c>
      <c r="C55" s="357" t="s">
        <v>677</v>
      </c>
      <c r="D55" s="358"/>
      <c r="E55" s="358"/>
      <c r="F55" s="358"/>
      <c r="G55" s="358"/>
      <c r="H55" s="358"/>
      <c r="I55" s="358"/>
      <c r="J55" s="358"/>
      <c r="K55" s="358"/>
      <c r="L55" s="358"/>
      <c r="M55" s="358"/>
      <c r="N55" s="358"/>
      <c r="O55" s="358"/>
      <c r="P55" s="359"/>
    </row>
    <row r="56" spans="2:16" ht="18" customHeight="1" x14ac:dyDescent="0.35"/>
    <row r="57" spans="2:16" ht="18" customHeight="1" x14ac:dyDescent="0.35"/>
    <row r="58" spans="2:16" ht="18" customHeight="1" x14ac:dyDescent="0.35">
      <c r="B58" s="339" t="s">
        <v>678</v>
      </c>
      <c r="C58" s="332"/>
      <c r="D58" s="332"/>
      <c r="E58" s="332"/>
      <c r="F58" s="332"/>
      <c r="G58" s="332"/>
      <c r="H58" s="332"/>
      <c r="I58" s="332"/>
      <c r="J58" s="332"/>
      <c r="K58" s="332"/>
      <c r="L58" s="332"/>
      <c r="M58" s="332"/>
      <c r="N58" s="332"/>
      <c r="O58" s="332"/>
      <c r="P58" s="332"/>
    </row>
    <row r="59" spans="2:16" ht="18" customHeight="1" x14ac:dyDescent="0.35"/>
    <row r="60" spans="2:16" ht="18" customHeight="1" x14ac:dyDescent="0.35"/>
    <row r="61" spans="2:16" ht="18" customHeight="1" x14ac:dyDescent="0.35"/>
    <row r="62" spans="2:16" ht="18" customHeight="1" x14ac:dyDescent="0.35"/>
    <row r="63" spans="2:16" ht="18" customHeight="1" x14ac:dyDescent="0.35"/>
    <row r="64" spans="2:16" ht="18" customHeight="1" x14ac:dyDescent="0.35"/>
    <row r="65" ht="18" customHeight="1" x14ac:dyDescent="0.35"/>
    <row r="66" ht="18" customHeight="1" x14ac:dyDescent="0.35"/>
    <row r="67" ht="18" customHeight="1" x14ac:dyDescent="0.35"/>
    <row r="68" ht="18" customHeight="1" x14ac:dyDescent="0.35"/>
    <row r="69" ht="18" customHeight="1" x14ac:dyDescent="0.35"/>
    <row r="70" ht="18" customHeight="1" x14ac:dyDescent="0.35"/>
    <row r="71" ht="18" customHeight="1" x14ac:dyDescent="0.35"/>
    <row r="72" ht="18" customHeight="1" x14ac:dyDescent="0.35"/>
    <row r="73" ht="18" customHeight="1" x14ac:dyDescent="0.35"/>
    <row r="74" ht="18" customHeight="1" x14ac:dyDescent="0.35"/>
    <row r="75" ht="18" customHeight="1" x14ac:dyDescent="0.35"/>
    <row r="76" ht="18" customHeight="1" x14ac:dyDescent="0.35"/>
    <row r="77" ht="18" customHeight="1" x14ac:dyDescent="0.35"/>
    <row r="78" ht="18" customHeight="1" x14ac:dyDescent="0.35"/>
    <row r="79" ht="18" customHeight="1" x14ac:dyDescent="0.35"/>
    <row r="80" ht="18" customHeight="1" x14ac:dyDescent="0.35"/>
    <row r="81" ht="18" customHeight="1" x14ac:dyDescent="0.35"/>
    <row r="82" ht="18" customHeight="1" x14ac:dyDescent="0.35"/>
    <row r="83" ht="18" customHeight="1" x14ac:dyDescent="0.35"/>
    <row r="84" ht="18" customHeight="1" x14ac:dyDescent="0.35"/>
    <row r="85" ht="18" customHeight="1" x14ac:dyDescent="0.35"/>
    <row r="86" ht="18" customHeight="1" x14ac:dyDescent="0.35"/>
    <row r="87" ht="18" customHeight="1" x14ac:dyDescent="0.35"/>
    <row r="88" ht="18" customHeight="1" x14ac:dyDescent="0.35"/>
    <row r="89" ht="18" customHeight="1" x14ac:dyDescent="0.35"/>
    <row r="90" ht="18" customHeight="1" x14ac:dyDescent="0.35"/>
    <row r="91" ht="18" customHeight="1" x14ac:dyDescent="0.35"/>
    <row r="92" ht="18" customHeight="1" x14ac:dyDescent="0.35"/>
    <row r="93" ht="18" customHeight="1" x14ac:dyDescent="0.35"/>
    <row r="94" ht="18" customHeight="1" x14ac:dyDescent="0.35"/>
    <row r="95" ht="18" customHeight="1" x14ac:dyDescent="0.35"/>
    <row r="96" ht="18" customHeight="1" x14ac:dyDescent="0.35"/>
    <row r="97" ht="18" customHeight="1" x14ac:dyDescent="0.35"/>
    <row r="98" ht="18" customHeight="1" x14ac:dyDescent="0.35"/>
    <row r="99" ht="18" customHeight="1" x14ac:dyDescent="0.35"/>
    <row r="100" ht="18" customHeight="1" x14ac:dyDescent="0.35"/>
    <row r="101" ht="18" customHeight="1" x14ac:dyDescent="0.35"/>
    <row r="102" ht="18" customHeight="1" x14ac:dyDescent="0.35"/>
    <row r="103" ht="18" customHeight="1" x14ac:dyDescent="0.35"/>
    <row r="104" ht="18" customHeight="1" x14ac:dyDescent="0.35"/>
    <row r="105" ht="18" customHeight="1" x14ac:dyDescent="0.35"/>
    <row r="106" ht="18" customHeight="1" x14ac:dyDescent="0.35"/>
    <row r="107" ht="18" customHeight="1" x14ac:dyDescent="0.35"/>
    <row r="108" ht="18" customHeight="1" x14ac:dyDescent="0.35"/>
    <row r="109" ht="18" customHeight="1" x14ac:dyDescent="0.35"/>
    <row r="110" ht="18" customHeight="1" x14ac:dyDescent="0.35"/>
    <row r="111" ht="18" customHeight="1" x14ac:dyDescent="0.35"/>
    <row r="112" ht="18" customHeight="1" x14ac:dyDescent="0.35"/>
    <row r="113" ht="18" customHeight="1" x14ac:dyDescent="0.35"/>
    <row r="114" ht="18" customHeight="1" x14ac:dyDescent="0.35"/>
    <row r="115" ht="18" customHeight="1" x14ac:dyDescent="0.35"/>
    <row r="116" ht="18" customHeight="1" x14ac:dyDescent="0.35"/>
    <row r="117" ht="18" customHeight="1" x14ac:dyDescent="0.35"/>
    <row r="118" ht="18" customHeight="1" x14ac:dyDescent="0.35"/>
    <row r="119" ht="18" customHeight="1" x14ac:dyDescent="0.35"/>
  </sheetData>
  <mergeCells count="19">
    <mergeCell ref="C55:P55"/>
    <mergeCell ref="C50:P50"/>
    <mergeCell ref="B58:P58"/>
    <mergeCell ref="C52:P52"/>
    <mergeCell ref="B32:G32"/>
    <mergeCell ref="C54:P54"/>
    <mergeCell ref="B45:P45"/>
    <mergeCell ref="B1:P1"/>
    <mergeCell ref="C51:P51"/>
    <mergeCell ref="B15:M15"/>
    <mergeCell ref="D13:I13"/>
    <mergeCell ref="B4:I4"/>
    <mergeCell ref="B13:C13"/>
    <mergeCell ref="C48:P48"/>
    <mergeCell ref="C53:P53"/>
    <mergeCell ref="B2:P2"/>
    <mergeCell ref="C49:P49"/>
    <mergeCell ref="C46:P46"/>
    <mergeCell ref="C47:P4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1"/>
    <outlinePr summaryBelow="0" summaryRight="0"/>
  </sheetPr>
  <dimension ref="B2:BQ154"/>
  <sheetViews>
    <sheetView showGridLines="0" workbookViewId="0">
      <pane ySplit="2" topLeftCell="A164" activePane="bottomLeft" state="frozenSplit"/>
      <selection pane="bottomLeft" activeCell="T142" sqref="T142"/>
    </sheetView>
  </sheetViews>
  <sheetFormatPr defaultColWidth="2.81640625" defaultRowHeight="14.5" x14ac:dyDescent="0.35"/>
  <cols>
    <col min="1" max="1" width="2.81640625" style="160" customWidth="1"/>
    <col min="2" max="16384" width="2.81640625" style="160"/>
  </cols>
  <sheetData>
    <row r="2" spans="2:58" ht="28.5" customHeight="1" x14ac:dyDescent="0.35">
      <c r="B2" s="159" t="str">
        <f>TEMPLATE_NAME&amp;" "&amp;TEMPLATE_VER&amp;" - HELP"</f>
        <v>AG Estimation Template -  Version 2.0.4 - HELP</v>
      </c>
    </row>
    <row r="4" spans="2:58" x14ac:dyDescent="0.35">
      <c r="B4" s="160" t="s">
        <v>679</v>
      </c>
    </row>
    <row r="5" spans="2:58" x14ac:dyDescent="0.35">
      <c r="B5" s="190" t="s">
        <v>549</v>
      </c>
      <c r="D5" s="160" t="s">
        <v>680</v>
      </c>
    </row>
    <row r="6" spans="2:58" x14ac:dyDescent="0.35">
      <c r="B6" s="190" t="s">
        <v>549</v>
      </c>
      <c r="D6" s="160" t="s">
        <v>681</v>
      </c>
    </row>
    <row r="7" spans="2:58" x14ac:dyDescent="0.35">
      <c r="B7" s="190" t="s">
        <v>549</v>
      </c>
      <c r="D7" s="160" t="s">
        <v>682</v>
      </c>
    </row>
    <row r="8" spans="2:58" x14ac:dyDescent="0.35">
      <c r="B8" s="190" t="s">
        <v>549</v>
      </c>
      <c r="D8" s="160" t="s">
        <v>683</v>
      </c>
    </row>
    <row r="9" spans="2:58" x14ac:dyDescent="0.35">
      <c r="B9" s="190" t="s">
        <v>549</v>
      </c>
      <c r="D9" s="160" t="s">
        <v>684</v>
      </c>
    </row>
    <row r="10" spans="2:58" x14ac:dyDescent="0.35">
      <c r="B10" s="190" t="s">
        <v>549</v>
      </c>
      <c r="D10" s="160" t="s">
        <v>685</v>
      </c>
    </row>
    <row r="11" spans="2:58" x14ac:dyDescent="0.35">
      <c r="B11" s="190" t="s">
        <v>549</v>
      </c>
      <c r="D11" s="160" t="s">
        <v>686</v>
      </c>
    </row>
    <row r="13" spans="2:58" x14ac:dyDescent="0.35">
      <c r="B13" s="342" t="s">
        <v>687</v>
      </c>
      <c r="C13" s="341"/>
      <c r="D13" s="341"/>
      <c r="E13" s="341"/>
      <c r="F13" s="341"/>
      <c r="G13" s="341"/>
      <c r="H13" s="341"/>
      <c r="I13" s="341"/>
      <c r="J13" s="341"/>
      <c r="N13" s="214" t="s">
        <v>688</v>
      </c>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8" t="s">
        <v>689</v>
      </c>
      <c r="AW13" s="213"/>
      <c r="AX13" s="214" t="s">
        <v>690</v>
      </c>
      <c r="AY13" s="213"/>
      <c r="AZ13" s="213"/>
      <c r="BA13" s="213"/>
      <c r="BB13" s="213"/>
      <c r="BC13" s="213"/>
      <c r="BD13" s="213"/>
      <c r="BE13" s="213"/>
      <c r="BF13" s="213"/>
    </row>
    <row r="14" spans="2:58" x14ac:dyDescent="0.35">
      <c r="B14" s="341"/>
      <c r="C14" s="341"/>
      <c r="D14" s="341"/>
      <c r="E14" s="341"/>
      <c r="F14" s="341"/>
      <c r="G14" s="341"/>
      <c r="H14" s="341"/>
      <c r="I14" s="341"/>
      <c r="J14" s="341"/>
      <c r="N14" s="214" t="s">
        <v>691</v>
      </c>
      <c r="S14" s="214" t="s">
        <v>692</v>
      </c>
      <c r="AH14" s="218" t="s">
        <v>693</v>
      </c>
    </row>
    <row r="15" spans="2:58" ht="15" customHeight="1" x14ac:dyDescent="0.35">
      <c r="B15" s="215"/>
      <c r="C15" s="215"/>
      <c r="D15" s="215"/>
      <c r="E15" s="215"/>
      <c r="F15" s="215"/>
      <c r="G15" s="215"/>
      <c r="H15" s="215"/>
      <c r="I15" s="215"/>
      <c r="J15" s="215"/>
      <c r="N15" s="216"/>
      <c r="S15" s="216"/>
      <c r="AH15" s="217"/>
    </row>
    <row r="16" spans="2:58" ht="15" customHeight="1" x14ac:dyDescent="0.35">
      <c r="H16" s="340" t="s">
        <v>694</v>
      </c>
      <c r="I16" s="341"/>
      <c r="J16" s="341"/>
      <c r="K16" s="341"/>
      <c r="L16" s="341"/>
      <c r="M16" s="341"/>
      <c r="N16" s="341"/>
      <c r="O16" s="341"/>
      <c r="P16" s="341"/>
      <c r="Q16" s="341"/>
      <c r="R16" s="341"/>
      <c r="S16" s="341"/>
      <c r="T16" s="341"/>
      <c r="U16" s="341"/>
      <c r="V16" s="341"/>
      <c r="AL16" s="340" t="s">
        <v>695</v>
      </c>
      <c r="AM16" s="341"/>
      <c r="AN16" s="341"/>
      <c r="AO16" s="341"/>
      <c r="AP16" s="341"/>
      <c r="AQ16" s="341"/>
      <c r="AR16" s="341"/>
      <c r="AS16" s="341"/>
      <c r="AT16" s="341"/>
      <c r="AU16" s="341"/>
      <c r="AV16" s="341"/>
      <c r="AW16" s="341"/>
      <c r="AX16" s="341"/>
      <c r="AY16" s="341"/>
      <c r="AZ16" s="341"/>
      <c r="BA16" s="341"/>
      <c r="BB16" s="341"/>
      <c r="BC16" s="341"/>
      <c r="BD16" s="341"/>
    </row>
    <row r="17" spans="2:56" ht="15" customHeight="1" x14ac:dyDescent="0.35">
      <c r="H17" s="341"/>
      <c r="I17" s="341"/>
      <c r="J17" s="341"/>
      <c r="K17" s="341"/>
      <c r="L17" s="341"/>
      <c r="M17" s="341"/>
      <c r="N17" s="341"/>
      <c r="O17" s="341"/>
      <c r="P17" s="341"/>
      <c r="Q17" s="341"/>
      <c r="R17" s="341"/>
      <c r="S17" s="341"/>
      <c r="T17" s="341"/>
      <c r="U17" s="341"/>
      <c r="V17" s="341"/>
      <c r="AL17" s="341"/>
      <c r="AM17" s="341"/>
      <c r="AN17" s="341"/>
      <c r="AO17" s="341"/>
      <c r="AP17" s="341"/>
      <c r="AQ17" s="341"/>
      <c r="AR17" s="341"/>
      <c r="AS17" s="341"/>
      <c r="AT17" s="341"/>
      <c r="AU17" s="341"/>
      <c r="AV17" s="341"/>
      <c r="AW17" s="341"/>
      <c r="AX17" s="341"/>
      <c r="AY17" s="341"/>
      <c r="AZ17" s="341"/>
      <c r="BA17" s="341"/>
      <c r="BB17" s="341"/>
      <c r="BC17" s="341"/>
      <c r="BD17" s="341"/>
    </row>
    <row r="18" spans="2:56" x14ac:dyDescent="0.35">
      <c r="H18" s="160" t="s">
        <v>696</v>
      </c>
      <c r="AL18" s="160" t="s">
        <v>697</v>
      </c>
    </row>
    <row r="19" spans="2:56" x14ac:dyDescent="0.35">
      <c r="H19" s="160" t="s">
        <v>698</v>
      </c>
      <c r="AL19" s="160" t="s">
        <v>699</v>
      </c>
    </row>
    <row r="20" spans="2:56" x14ac:dyDescent="0.35">
      <c r="H20" s="160" t="s">
        <v>700</v>
      </c>
      <c r="AL20" s="160" t="s">
        <v>701</v>
      </c>
    </row>
    <row r="21" spans="2:56" x14ac:dyDescent="0.35">
      <c r="H21" s="160" t="s">
        <v>702</v>
      </c>
    </row>
    <row r="22" spans="2:56" x14ac:dyDescent="0.35">
      <c r="H22" s="160" t="s">
        <v>703</v>
      </c>
      <c r="AL22" s="160" t="s">
        <v>704</v>
      </c>
    </row>
    <row r="23" spans="2:56" x14ac:dyDescent="0.35">
      <c r="H23" s="160" t="s">
        <v>705</v>
      </c>
      <c r="AL23" s="160" t="s">
        <v>706</v>
      </c>
    </row>
    <row r="29" spans="2:56" x14ac:dyDescent="0.35">
      <c r="B29" s="340" t="s">
        <v>707</v>
      </c>
      <c r="C29" s="341"/>
      <c r="D29" s="341"/>
      <c r="E29" s="341"/>
      <c r="F29" s="341"/>
      <c r="G29" s="341"/>
      <c r="H29" s="341"/>
      <c r="I29" s="341"/>
      <c r="J29" s="341"/>
      <c r="K29" s="341"/>
      <c r="L29" s="341"/>
      <c r="M29" s="341"/>
      <c r="N29" s="341"/>
      <c r="O29" s="341"/>
    </row>
    <row r="30" spans="2:56" x14ac:dyDescent="0.35">
      <c r="B30" s="341"/>
      <c r="C30" s="341"/>
      <c r="D30" s="341"/>
      <c r="E30" s="341"/>
      <c r="F30" s="341"/>
      <c r="G30" s="341"/>
      <c r="H30" s="341"/>
      <c r="I30" s="341"/>
      <c r="J30" s="341"/>
      <c r="K30" s="341"/>
      <c r="L30" s="341"/>
      <c r="M30" s="341"/>
      <c r="N30" s="341"/>
      <c r="O30" s="341"/>
    </row>
    <row r="31" spans="2:56" x14ac:dyDescent="0.35">
      <c r="B31" s="160" t="s">
        <v>708</v>
      </c>
    </row>
    <row r="32" spans="2:56" x14ac:dyDescent="0.35">
      <c r="B32" s="160" t="s">
        <v>709</v>
      </c>
    </row>
    <row r="33" spans="2:31" x14ac:dyDescent="0.35">
      <c r="B33" s="160" t="s">
        <v>710</v>
      </c>
    </row>
    <row r="34" spans="2:31" x14ac:dyDescent="0.35">
      <c r="B34" s="160" t="s">
        <v>711</v>
      </c>
    </row>
    <row r="35" spans="2:31" x14ac:dyDescent="0.35">
      <c r="B35" s="160" t="s">
        <v>712</v>
      </c>
    </row>
    <row r="36" spans="2:31" x14ac:dyDescent="0.35">
      <c r="B36" s="160" t="s">
        <v>713</v>
      </c>
    </row>
    <row r="41" spans="2:31" x14ac:dyDescent="0.35">
      <c r="B41" s="340" t="s">
        <v>714</v>
      </c>
      <c r="C41" s="341"/>
      <c r="D41" s="341"/>
      <c r="E41" s="341"/>
      <c r="F41" s="341"/>
      <c r="G41" s="341"/>
      <c r="H41" s="341"/>
      <c r="I41" s="341"/>
      <c r="J41" s="341"/>
      <c r="K41" s="341"/>
      <c r="L41" s="341"/>
      <c r="M41" s="341"/>
      <c r="N41" s="341"/>
      <c r="O41" s="341"/>
    </row>
    <row r="42" spans="2:31" x14ac:dyDescent="0.35">
      <c r="B42" s="341"/>
      <c r="C42" s="341"/>
      <c r="D42" s="341"/>
      <c r="E42" s="341"/>
      <c r="F42" s="341"/>
      <c r="G42" s="341"/>
      <c r="H42" s="341"/>
      <c r="I42" s="341"/>
      <c r="J42" s="341"/>
      <c r="K42" s="341"/>
      <c r="L42" s="341"/>
      <c r="M42" s="341"/>
      <c r="N42" s="341"/>
      <c r="O42" s="341"/>
      <c r="AE42" s="160" t="s">
        <v>715</v>
      </c>
    </row>
    <row r="43" spans="2:31" x14ac:dyDescent="0.35">
      <c r="B43" s="160" t="s">
        <v>716</v>
      </c>
      <c r="AE43" s="160" t="s">
        <v>717</v>
      </c>
    </row>
    <row r="44" spans="2:31" x14ac:dyDescent="0.35">
      <c r="B44" s="160" t="s">
        <v>718</v>
      </c>
      <c r="AE44" s="160" t="s">
        <v>719</v>
      </c>
    </row>
    <row r="46" spans="2:31" x14ac:dyDescent="0.35">
      <c r="B46" s="160" t="s">
        <v>720</v>
      </c>
      <c r="AE46" s="160" t="s">
        <v>721</v>
      </c>
    </row>
    <row r="47" spans="2:31" x14ac:dyDescent="0.35">
      <c r="B47" s="160" t="s">
        <v>722</v>
      </c>
      <c r="AE47" s="160" t="s">
        <v>723</v>
      </c>
    </row>
    <row r="49" spans="2:14" x14ac:dyDescent="0.35">
      <c r="B49" s="340" t="s">
        <v>724</v>
      </c>
      <c r="C49" s="341"/>
      <c r="D49" s="341"/>
      <c r="E49" s="341"/>
      <c r="F49" s="341"/>
      <c r="G49" s="341"/>
      <c r="H49" s="341"/>
      <c r="I49" s="341"/>
      <c r="J49" s="341"/>
      <c r="K49" s="341"/>
      <c r="L49" s="341"/>
      <c r="M49" s="341"/>
      <c r="N49" s="341"/>
    </row>
    <row r="50" spans="2:14" x14ac:dyDescent="0.35">
      <c r="B50" s="341"/>
      <c r="C50" s="341"/>
      <c r="D50" s="341"/>
      <c r="E50" s="341"/>
      <c r="F50" s="341"/>
      <c r="G50" s="341"/>
      <c r="H50" s="341"/>
      <c r="I50" s="341"/>
      <c r="J50" s="341"/>
      <c r="K50" s="341"/>
      <c r="L50" s="341"/>
      <c r="M50" s="341"/>
      <c r="N50" s="341"/>
    </row>
    <row r="51" spans="2:14" x14ac:dyDescent="0.35">
      <c r="B51" s="160" t="s">
        <v>725</v>
      </c>
    </row>
    <row r="52" spans="2:14" x14ac:dyDescent="0.35">
      <c r="B52" s="160" t="s">
        <v>726</v>
      </c>
    </row>
    <row r="54" spans="2:14" x14ac:dyDescent="0.35">
      <c r="B54" s="160" t="s">
        <v>727</v>
      </c>
    </row>
    <row r="55" spans="2:14" x14ac:dyDescent="0.35">
      <c r="B55" s="160" t="s">
        <v>728</v>
      </c>
    </row>
    <row r="56" spans="2:14" x14ac:dyDescent="0.35">
      <c r="B56" s="160" t="s">
        <v>729</v>
      </c>
    </row>
    <row r="57" spans="2:14" x14ac:dyDescent="0.35">
      <c r="B57" s="160" t="s">
        <v>730</v>
      </c>
    </row>
    <row r="71" spans="2:16" x14ac:dyDescent="0.35">
      <c r="B71" s="340" t="s">
        <v>731</v>
      </c>
      <c r="C71" s="341"/>
      <c r="D71" s="341"/>
      <c r="E71" s="341"/>
      <c r="F71" s="341"/>
      <c r="G71" s="341"/>
      <c r="H71" s="341"/>
      <c r="I71" s="341"/>
      <c r="J71" s="341"/>
      <c r="K71" s="341"/>
      <c r="L71" s="341"/>
      <c r="M71" s="341"/>
      <c r="N71" s="341"/>
      <c r="O71" s="341"/>
      <c r="P71" s="341"/>
    </row>
    <row r="72" spans="2:16" x14ac:dyDescent="0.35">
      <c r="B72" s="341"/>
      <c r="C72" s="341"/>
      <c r="D72" s="341"/>
      <c r="E72" s="341"/>
      <c r="F72" s="341"/>
      <c r="G72" s="341"/>
      <c r="H72" s="341"/>
      <c r="I72" s="341"/>
      <c r="J72" s="341"/>
      <c r="K72" s="341"/>
      <c r="L72" s="341"/>
      <c r="M72" s="341"/>
      <c r="N72" s="341"/>
      <c r="O72" s="341"/>
      <c r="P72" s="341"/>
    </row>
    <row r="73" spans="2:16" x14ac:dyDescent="0.35">
      <c r="B73" s="160" t="s">
        <v>732</v>
      </c>
    </row>
    <row r="74" spans="2:16" x14ac:dyDescent="0.35">
      <c r="B74" s="160" t="s">
        <v>733</v>
      </c>
    </row>
    <row r="75" spans="2:16" x14ac:dyDescent="0.35">
      <c r="B75" s="160" t="s">
        <v>734</v>
      </c>
    </row>
    <row r="79" spans="2:16" x14ac:dyDescent="0.35">
      <c r="B79" s="160" t="s">
        <v>735</v>
      </c>
    </row>
    <row r="80" spans="2:16" x14ac:dyDescent="0.35">
      <c r="B80" s="160" t="s">
        <v>736</v>
      </c>
    </row>
    <row r="83" spans="3:69" ht="15" customHeight="1" x14ac:dyDescent="0.35">
      <c r="BG83" s="198" t="s">
        <v>737</v>
      </c>
      <c r="BH83" s="197"/>
      <c r="BI83" s="197"/>
      <c r="BJ83" s="197"/>
      <c r="BK83" s="197"/>
      <c r="BL83" s="197"/>
      <c r="BM83" s="197"/>
      <c r="BN83" s="197"/>
      <c r="BO83" s="197"/>
      <c r="BP83" s="197"/>
    </row>
    <row r="84" spans="3:69" ht="15" customHeight="1" x14ac:dyDescent="0.35">
      <c r="C84" s="340" t="s">
        <v>738</v>
      </c>
      <c r="D84" s="341"/>
      <c r="E84" s="341"/>
      <c r="F84" s="341"/>
      <c r="G84" s="341"/>
      <c r="H84" s="341"/>
      <c r="I84" s="341"/>
      <c r="J84" s="341"/>
      <c r="K84" s="341"/>
      <c r="L84" s="341"/>
      <c r="M84" s="341"/>
      <c r="N84" s="341"/>
      <c r="O84" s="341"/>
      <c r="P84" s="341"/>
      <c r="Q84" s="341"/>
      <c r="AZ84" s="198"/>
      <c r="BA84" s="198"/>
      <c r="BB84" s="198"/>
      <c r="BC84" s="198"/>
      <c r="BD84" s="198"/>
      <c r="BF84" s="198"/>
      <c r="BG84" s="197" t="s">
        <v>739</v>
      </c>
      <c r="BH84" s="198"/>
      <c r="BI84" s="198"/>
      <c r="BJ84" s="198"/>
    </row>
    <row r="85" spans="3:69" ht="18.5" customHeight="1" x14ac:dyDescent="0.35">
      <c r="C85" s="341"/>
      <c r="D85" s="341"/>
      <c r="E85" s="341"/>
      <c r="F85" s="341"/>
      <c r="G85" s="341"/>
      <c r="H85" s="341"/>
      <c r="I85" s="341"/>
      <c r="J85" s="341"/>
      <c r="K85" s="341"/>
      <c r="L85" s="341"/>
      <c r="M85" s="341"/>
      <c r="N85" s="341"/>
      <c r="O85" s="341"/>
      <c r="P85" s="341"/>
      <c r="Q85" s="341"/>
      <c r="AY85" s="198"/>
      <c r="AZ85" s="198"/>
      <c r="BA85" s="198"/>
      <c r="BB85" s="198"/>
      <c r="BC85" s="198"/>
      <c r="BD85" s="198"/>
      <c r="BF85" s="198"/>
      <c r="BG85" s="197" t="s">
        <v>740</v>
      </c>
      <c r="BH85" s="198"/>
      <c r="BI85" s="198"/>
      <c r="BJ85" s="198"/>
      <c r="BK85" s="197"/>
      <c r="BL85" s="197"/>
      <c r="BM85" s="197"/>
      <c r="BN85" s="197"/>
      <c r="BO85" s="197"/>
      <c r="BP85" s="197"/>
      <c r="BQ85" s="197"/>
    </row>
    <row r="86" spans="3:69" x14ac:dyDescent="0.35">
      <c r="C86" s="160" t="s">
        <v>741</v>
      </c>
      <c r="BG86" s="197"/>
      <c r="BH86" s="197"/>
      <c r="BI86" s="197"/>
      <c r="BJ86" s="197"/>
      <c r="BK86" s="197"/>
      <c r="BL86" s="197"/>
      <c r="BM86" s="197"/>
      <c r="BN86" s="197"/>
      <c r="BO86" s="197"/>
      <c r="BP86" s="197"/>
      <c r="BQ86" s="197"/>
    </row>
    <row r="87" spans="3:69" x14ac:dyDescent="0.35">
      <c r="C87" s="160" t="s">
        <v>742</v>
      </c>
    </row>
    <row r="93" spans="3:69" x14ac:dyDescent="0.35">
      <c r="AE93" s="340" t="s">
        <v>743</v>
      </c>
      <c r="AF93" s="341"/>
      <c r="AG93" s="341"/>
      <c r="AH93" s="341"/>
      <c r="AI93" s="341"/>
      <c r="AJ93" s="341"/>
      <c r="AK93" s="341"/>
      <c r="AL93" s="341"/>
      <c r="AM93" s="341"/>
      <c r="AN93" s="341"/>
      <c r="AO93" s="341"/>
      <c r="AP93" s="341"/>
      <c r="AQ93" s="341"/>
      <c r="AR93" s="341"/>
      <c r="AS93" s="341"/>
      <c r="AT93" s="341"/>
      <c r="AU93" s="341"/>
      <c r="AV93" s="341"/>
      <c r="AW93" s="341"/>
      <c r="AX93" s="341"/>
      <c r="AY93" s="341"/>
    </row>
    <row r="94" spans="3:69" x14ac:dyDescent="0.35">
      <c r="AE94" s="341"/>
      <c r="AF94" s="341"/>
      <c r="AG94" s="341"/>
      <c r="AH94" s="341"/>
      <c r="AI94" s="341"/>
      <c r="AJ94" s="341"/>
      <c r="AK94" s="341"/>
      <c r="AL94" s="341"/>
      <c r="AM94" s="341"/>
      <c r="AN94" s="341"/>
      <c r="AO94" s="341"/>
      <c r="AP94" s="341"/>
      <c r="AQ94" s="341"/>
      <c r="AR94" s="341"/>
      <c r="AS94" s="341"/>
      <c r="AT94" s="341"/>
      <c r="AU94" s="341"/>
      <c r="AV94" s="341"/>
      <c r="AW94" s="341"/>
      <c r="AX94" s="341"/>
      <c r="AY94" s="341"/>
    </row>
    <row r="95" spans="3:69" x14ac:dyDescent="0.35">
      <c r="AE95" s="160" t="s">
        <v>744</v>
      </c>
    </row>
    <row r="96" spans="3:69" ht="15" customHeight="1" x14ac:dyDescent="0.35">
      <c r="AE96" s="160" t="s">
        <v>745</v>
      </c>
    </row>
    <row r="97" spans="3:23" ht="15" customHeight="1" x14ac:dyDescent="0.35"/>
    <row r="104" spans="3:23" x14ac:dyDescent="0.35">
      <c r="C104" s="340" t="s">
        <v>746</v>
      </c>
      <c r="D104" s="341"/>
      <c r="E104" s="341"/>
      <c r="F104" s="341"/>
      <c r="G104" s="341"/>
      <c r="H104" s="341"/>
      <c r="I104" s="341"/>
      <c r="J104" s="341"/>
      <c r="K104" s="341"/>
      <c r="L104" s="341"/>
      <c r="M104" s="341"/>
      <c r="N104" s="341"/>
      <c r="O104" s="341"/>
      <c r="P104" s="341"/>
      <c r="Q104" s="341"/>
      <c r="R104" s="341"/>
      <c r="S104" s="341"/>
      <c r="T104" s="341"/>
      <c r="U104" s="341"/>
      <c r="V104" s="341"/>
      <c r="W104" s="341"/>
    </row>
    <row r="105" spans="3:23" x14ac:dyDescent="0.35">
      <c r="C105" s="341"/>
      <c r="D105" s="341"/>
      <c r="E105" s="341"/>
      <c r="F105" s="341"/>
      <c r="G105" s="341"/>
      <c r="H105" s="341"/>
      <c r="I105" s="341"/>
      <c r="J105" s="341"/>
      <c r="K105" s="341"/>
      <c r="L105" s="341"/>
      <c r="M105" s="341"/>
      <c r="N105" s="341"/>
      <c r="O105" s="341"/>
      <c r="P105" s="341"/>
      <c r="Q105" s="341"/>
      <c r="R105" s="341"/>
      <c r="S105" s="341"/>
      <c r="T105" s="341"/>
      <c r="U105" s="341"/>
      <c r="V105" s="341"/>
      <c r="W105" s="341"/>
    </row>
    <row r="111" spans="3:23" x14ac:dyDescent="0.35">
      <c r="C111" s="160" t="s">
        <v>747</v>
      </c>
    </row>
    <row r="112" spans="3:23" x14ac:dyDescent="0.35">
      <c r="C112" s="160" t="s">
        <v>748</v>
      </c>
    </row>
    <row r="114" spans="3:52" x14ac:dyDescent="0.35">
      <c r="C114" s="160" t="s">
        <v>749</v>
      </c>
      <c r="AF114" s="340" t="s">
        <v>750</v>
      </c>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row>
    <row r="115" spans="3:52" x14ac:dyDescent="0.35">
      <c r="C115" s="160" t="s">
        <v>751</v>
      </c>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row>
    <row r="116" spans="3:52" x14ac:dyDescent="0.35">
      <c r="AF116" s="160" t="s">
        <v>752</v>
      </c>
    </row>
    <row r="117" spans="3:52" x14ac:dyDescent="0.35">
      <c r="AF117" s="160" t="s">
        <v>753</v>
      </c>
    </row>
    <row r="121" spans="3:52" x14ac:dyDescent="0.35">
      <c r="V121" s="340" t="s">
        <v>754</v>
      </c>
      <c r="W121" s="341"/>
      <c r="X121" s="341"/>
      <c r="Y121" s="341"/>
      <c r="Z121" s="341"/>
      <c r="AA121" s="341"/>
      <c r="AB121" s="341"/>
      <c r="AC121" s="341"/>
      <c r="AD121" s="341"/>
      <c r="AE121" s="341"/>
      <c r="AF121" s="341"/>
      <c r="AG121" s="341"/>
      <c r="AH121" s="341"/>
      <c r="AI121" s="341"/>
      <c r="AJ121" s="341"/>
      <c r="AK121" s="341"/>
      <c r="AL121" s="341"/>
      <c r="AM121" s="341"/>
      <c r="AN121" s="341"/>
      <c r="AO121" s="341"/>
      <c r="AP121" s="341"/>
    </row>
    <row r="122" spans="3:52" x14ac:dyDescent="0.35">
      <c r="V122" s="341"/>
      <c r="W122" s="341"/>
      <c r="X122" s="341"/>
      <c r="Y122" s="341"/>
      <c r="Z122" s="341"/>
      <c r="AA122" s="341"/>
      <c r="AB122" s="341"/>
      <c r="AC122" s="341"/>
      <c r="AD122" s="341"/>
      <c r="AE122" s="341"/>
      <c r="AF122" s="341"/>
      <c r="AG122" s="341"/>
      <c r="AH122" s="341"/>
      <c r="AI122" s="341"/>
      <c r="AJ122" s="341"/>
      <c r="AK122" s="341"/>
      <c r="AL122" s="341"/>
      <c r="AM122" s="341"/>
      <c r="AN122" s="341"/>
      <c r="AO122" s="341"/>
      <c r="AP122" s="341"/>
    </row>
    <row r="123" spans="3:52" x14ac:dyDescent="0.35">
      <c r="S123" s="160" t="s">
        <v>755</v>
      </c>
    </row>
    <row r="124" spans="3:52" x14ac:dyDescent="0.35">
      <c r="S124" s="160" t="s">
        <v>756</v>
      </c>
    </row>
    <row r="126" spans="3:52" x14ac:dyDescent="0.35">
      <c r="S126" s="160" t="s">
        <v>757</v>
      </c>
    </row>
    <row r="130" spans="4:26" x14ac:dyDescent="0.35">
      <c r="F130" s="340" t="s">
        <v>758</v>
      </c>
      <c r="G130" s="341"/>
      <c r="H130" s="341"/>
      <c r="I130" s="341"/>
      <c r="J130" s="341"/>
      <c r="K130" s="341"/>
      <c r="L130" s="341"/>
      <c r="M130" s="341"/>
      <c r="N130" s="341"/>
      <c r="O130" s="341"/>
      <c r="P130" s="341"/>
      <c r="Q130" s="341"/>
      <c r="R130" s="341"/>
      <c r="S130" s="341"/>
      <c r="T130" s="341"/>
      <c r="U130" s="341"/>
      <c r="V130" s="341"/>
      <c r="W130" s="341"/>
      <c r="X130" s="341"/>
      <c r="Y130" s="341"/>
      <c r="Z130" s="341"/>
    </row>
    <row r="131" spans="4:26" x14ac:dyDescent="0.35">
      <c r="F131" s="341"/>
      <c r="G131" s="341"/>
      <c r="H131" s="341"/>
      <c r="I131" s="341"/>
      <c r="J131" s="341"/>
      <c r="K131" s="341"/>
      <c r="L131" s="341"/>
      <c r="M131" s="341"/>
      <c r="N131" s="341"/>
      <c r="O131" s="341"/>
      <c r="P131" s="341"/>
      <c r="Q131" s="341"/>
      <c r="R131" s="341"/>
      <c r="S131" s="341"/>
      <c r="T131" s="341"/>
      <c r="U131" s="341"/>
      <c r="V131" s="341"/>
      <c r="W131" s="341"/>
      <c r="X131" s="341"/>
      <c r="Y131" s="341"/>
      <c r="Z131" s="341"/>
    </row>
    <row r="132" spans="4:26" x14ac:dyDescent="0.35">
      <c r="F132" s="160" t="s">
        <v>759</v>
      </c>
    </row>
    <row r="133" spans="4:26" x14ac:dyDescent="0.35">
      <c r="F133" s="160" t="s">
        <v>760</v>
      </c>
    </row>
    <row r="143" spans="4:26" x14ac:dyDescent="0.35">
      <c r="D143" s="340" t="s">
        <v>761</v>
      </c>
      <c r="E143" s="341"/>
      <c r="F143" s="341"/>
      <c r="G143" s="341"/>
      <c r="H143" s="341"/>
      <c r="I143" s="341"/>
      <c r="J143" s="341"/>
      <c r="K143" s="341"/>
      <c r="L143" s="341"/>
      <c r="M143" s="341"/>
      <c r="N143" s="341"/>
      <c r="O143" s="341"/>
      <c r="P143" s="341"/>
      <c r="Q143" s="341"/>
      <c r="R143" s="341"/>
      <c r="S143" s="341"/>
      <c r="T143" s="341"/>
      <c r="U143" s="341"/>
      <c r="V143" s="341"/>
      <c r="W143" s="341"/>
      <c r="X143" s="341"/>
    </row>
    <row r="144" spans="4:26" x14ac:dyDescent="0.35">
      <c r="D144" s="341"/>
      <c r="E144" s="341"/>
      <c r="F144" s="341"/>
      <c r="G144" s="341"/>
      <c r="H144" s="341"/>
      <c r="I144" s="341"/>
      <c r="J144" s="341"/>
      <c r="K144" s="341"/>
      <c r="L144" s="341"/>
      <c r="M144" s="341"/>
      <c r="N144" s="341"/>
      <c r="O144" s="341"/>
      <c r="P144" s="341"/>
      <c r="Q144" s="341"/>
      <c r="R144" s="341"/>
      <c r="S144" s="341"/>
      <c r="T144" s="341"/>
      <c r="U144" s="341"/>
      <c r="V144" s="341"/>
      <c r="W144" s="341"/>
      <c r="X144" s="341"/>
    </row>
    <row r="145" spans="4:24" x14ac:dyDescent="0.35">
      <c r="D145" s="160" t="s">
        <v>762</v>
      </c>
    </row>
    <row r="146" spans="4:24" x14ac:dyDescent="0.35">
      <c r="D146" s="160" t="s">
        <v>763</v>
      </c>
    </row>
    <row r="148" spans="4:24" x14ac:dyDescent="0.35">
      <c r="D148" s="160" t="s">
        <v>764</v>
      </c>
    </row>
    <row r="149" spans="4:24" x14ac:dyDescent="0.35">
      <c r="D149" s="160" t="s">
        <v>765</v>
      </c>
    </row>
    <row r="152" spans="4:24" x14ac:dyDescent="0.35">
      <c r="D152" s="340" t="s">
        <v>766</v>
      </c>
      <c r="E152" s="341"/>
      <c r="F152" s="341"/>
      <c r="G152" s="341"/>
      <c r="H152" s="341"/>
      <c r="I152" s="341"/>
      <c r="J152" s="341"/>
      <c r="K152" s="341"/>
      <c r="L152" s="341"/>
      <c r="M152" s="341"/>
      <c r="N152" s="341"/>
      <c r="O152" s="341"/>
      <c r="P152" s="341"/>
      <c r="Q152" s="341"/>
      <c r="R152" s="341"/>
      <c r="S152" s="341"/>
      <c r="T152" s="341"/>
      <c r="U152" s="341"/>
      <c r="V152" s="341"/>
      <c r="W152" s="341"/>
      <c r="X152" s="341"/>
    </row>
    <row r="153" spans="4:24" x14ac:dyDescent="0.35">
      <c r="D153" s="341"/>
      <c r="E153" s="341"/>
      <c r="F153" s="341"/>
      <c r="G153" s="341"/>
      <c r="H153" s="341"/>
      <c r="I153" s="341"/>
      <c r="J153" s="341"/>
      <c r="K153" s="341"/>
      <c r="L153" s="341"/>
      <c r="M153" s="341"/>
      <c r="N153" s="341"/>
      <c r="O153" s="341"/>
      <c r="P153" s="341"/>
      <c r="Q153" s="341"/>
      <c r="R153" s="341"/>
      <c r="S153" s="341"/>
      <c r="T153" s="341"/>
      <c r="U153" s="341"/>
      <c r="V153" s="341"/>
      <c r="W153" s="341"/>
      <c r="X153" s="341"/>
    </row>
    <row r="154" spans="4:24" x14ac:dyDescent="0.35">
      <c r="G154" s="160" t="s">
        <v>767</v>
      </c>
    </row>
  </sheetData>
  <mergeCells count="15">
    <mergeCell ref="B13:J14"/>
    <mergeCell ref="H16:V17"/>
    <mergeCell ref="C104:W105"/>
    <mergeCell ref="D152:X153"/>
    <mergeCell ref="AL16:BD17"/>
    <mergeCell ref="V121:AP122"/>
    <mergeCell ref="F130:Z131"/>
    <mergeCell ref="D143:X144"/>
    <mergeCell ref="B49:N50"/>
    <mergeCell ref="C84:Q85"/>
    <mergeCell ref="AE93:AY94"/>
    <mergeCell ref="B41:O42"/>
    <mergeCell ref="B71:P72"/>
    <mergeCell ref="B29:O30"/>
    <mergeCell ref="AF114:AZ115"/>
  </mergeCells>
  <hyperlinks>
    <hyperlink ref="AV13" location="FAQs!A1" tooltip="Frequently Asked Questions (FAQs)" display="FAQs" xr:uid="{00000000-0004-0000-0400-000000000000}"/>
    <hyperlink ref="AH14" r:id="rId1" xr:uid="{00000000-0004-0000-0400-000001000000}"/>
  </hyperlinks>
  <pageMargins left="0.7" right="0.7" top="0.75" bottom="0.75" header="0.3" footer="0.3"/>
  <pageSetup orientation="portrait" horizontalDpi="4294967295" verticalDpi="4294967295"/>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outlinePr summaryBelow="0" summaryRight="0"/>
  </sheetPr>
  <dimension ref="B2:AD175"/>
  <sheetViews>
    <sheetView showGridLines="0" showRowColHeaders="0" workbookViewId="0">
      <pane ySplit="2" topLeftCell="A3" activePane="bottomLeft" state="frozenSplit"/>
      <selection pane="bottomLeft" activeCell="H51" sqref="H51"/>
    </sheetView>
  </sheetViews>
  <sheetFormatPr defaultColWidth="3.81640625" defaultRowHeight="14.5" x14ac:dyDescent="0.35"/>
  <cols>
    <col min="1" max="1" width="2.81640625" customWidth="1"/>
    <col min="2" max="2" width="4.453125" bestFit="1" customWidth="1"/>
  </cols>
  <sheetData>
    <row r="2" spans="2:4" ht="28.5" customHeight="1" x14ac:dyDescent="0.35">
      <c r="B2" s="159" t="str">
        <f>TEMPLATE_NAME&amp;" "&amp;TEMPLATE_VER&amp;" - FAQs"</f>
        <v>AG Estimation Template -  Version 2.0.4 - FAQs</v>
      </c>
    </row>
    <row r="4" spans="2:4" ht="18.5" customHeight="1" x14ac:dyDescent="0.45">
      <c r="B4" s="212" t="s">
        <v>768</v>
      </c>
    </row>
    <row r="6" spans="2:4" s="209" customFormat="1" ht="21" customHeight="1" x14ac:dyDescent="0.5">
      <c r="B6" s="208">
        <v>1</v>
      </c>
      <c r="C6" s="208" t="s">
        <v>769</v>
      </c>
    </row>
    <row r="7" spans="2:4" x14ac:dyDescent="0.35">
      <c r="D7" t="s">
        <v>770</v>
      </c>
    </row>
    <row r="8" spans="2:4" x14ac:dyDescent="0.35">
      <c r="D8" t="s">
        <v>771</v>
      </c>
    </row>
    <row r="10" spans="2:4" s="209" customFormat="1" ht="21" customHeight="1" x14ac:dyDescent="0.5">
      <c r="B10" s="208">
        <v>2</v>
      </c>
      <c r="C10" s="208" t="s">
        <v>772</v>
      </c>
    </row>
    <row r="11" spans="2:4" x14ac:dyDescent="0.35">
      <c r="D11" t="s">
        <v>773</v>
      </c>
    </row>
    <row r="12" spans="2:4" x14ac:dyDescent="0.35">
      <c r="D12" t="s">
        <v>774</v>
      </c>
    </row>
    <row r="14" spans="2:4" s="209" customFormat="1" ht="21" customHeight="1" x14ac:dyDescent="0.5">
      <c r="B14" s="208">
        <v>3</v>
      </c>
      <c r="C14" s="208" t="s">
        <v>775</v>
      </c>
    </row>
    <row r="15" spans="2:4" x14ac:dyDescent="0.35">
      <c r="D15" t="s">
        <v>776</v>
      </c>
    </row>
    <row r="17" spans="2:4" s="209" customFormat="1" ht="21" customHeight="1" x14ac:dyDescent="0.5">
      <c r="B17" s="208">
        <v>4</v>
      </c>
      <c r="C17" s="208" t="s">
        <v>777</v>
      </c>
    </row>
    <row r="18" spans="2:4" x14ac:dyDescent="0.35">
      <c r="D18" t="s">
        <v>778</v>
      </c>
    </row>
    <row r="19" spans="2:4" x14ac:dyDescent="0.35">
      <c r="D19" t="s">
        <v>779</v>
      </c>
    </row>
    <row r="20" spans="2:4" x14ac:dyDescent="0.35">
      <c r="D20" t="s">
        <v>780</v>
      </c>
    </row>
    <row r="22" spans="2:4" s="209" customFormat="1" ht="21" customHeight="1" x14ac:dyDescent="0.5">
      <c r="B22" s="208">
        <v>5</v>
      </c>
      <c r="C22" s="208" t="s">
        <v>781</v>
      </c>
    </row>
    <row r="23" spans="2:4" x14ac:dyDescent="0.35">
      <c r="D23" t="s">
        <v>782</v>
      </c>
    </row>
    <row r="24" spans="2:4" x14ac:dyDescent="0.35">
      <c r="D24" t="s">
        <v>783</v>
      </c>
    </row>
    <row r="25" spans="2:4" x14ac:dyDescent="0.35">
      <c r="D25" t="s">
        <v>784</v>
      </c>
    </row>
    <row r="27" spans="2:4" s="209" customFormat="1" ht="21" customHeight="1" x14ac:dyDescent="0.5">
      <c r="B27" s="208">
        <v>6</v>
      </c>
      <c r="C27" s="208" t="s">
        <v>785</v>
      </c>
    </row>
    <row r="28" spans="2:4" x14ac:dyDescent="0.35">
      <c r="D28" t="s">
        <v>786</v>
      </c>
    </row>
    <row r="30" spans="2:4" s="209" customFormat="1" ht="21" customHeight="1" x14ac:dyDescent="0.5">
      <c r="B30" s="208">
        <v>7</v>
      </c>
      <c r="C30" s="208" t="s">
        <v>787</v>
      </c>
    </row>
    <row r="31" spans="2:4" x14ac:dyDescent="0.35">
      <c r="D31" t="s">
        <v>788</v>
      </c>
    </row>
    <row r="33" spans="2:9" s="209" customFormat="1" ht="21" customHeight="1" x14ac:dyDescent="0.5">
      <c r="B33" s="208">
        <v>8</v>
      </c>
      <c r="C33" s="208" t="s">
        <v>789</v>
      </c>
    </row>
    <row r="34" spans="2:9" x14ac:dyDescent="0.35">
      <c r="D34" t="s">
        <v>790</v>
      </c>
    </row>
    <row r="35" spans="2:9" x14ac:dyDescent="0.35">
      <c r="D35" t="s">
        <v>791</v>
      </c>
    </row>
    <row r="37" spans="2:9" s="209" customFormat="1" ht="21" customHeight="1" x14ac:dyDescent="0.5">
      <c r="B37" s="208">
        <v>9</v>
      </c>
      <c r="C37" s="208" t="s">
        <v>792</v>
      </c>
    </row>
    <row r="38" spans="2:9" x14ac:dyDescent="0.35">
      <c r="D38" t="s">
        <v>793</v>
      </c>
    </row>
    <row r="39" spans="2:9" x14ac:dyDescent="0.35">
      <c r="F39" s="201" t="s">
        <v>794</v>
      </c>
      <c r="G39" t="s">
        <v>795</v>
      </c>
    </row>
    <row r="40" spans="2:9" x14ac:dyDescent="0.35">
      <c r="F40" s="201" t="s">
        <v>796</v>
      </c>
      <c r="G40" t="s">
        <v>797</v>
      </c>
    </row>
    <row r="41" spans="2:9" x14ac:dyDescent="0.35">
      <c r="F41" s="201" t="s">
        <v>798</v>
      </c>
      <c r="G41" t="s">
        <v>799</v>
      </c>
    </row>
    <row r="42" spans="2:9" x14ac:dyDescent="0.35">
      <c r="F42" s="201" t="s">
        <v>800</v>
      </c>
      <c r="G42" t="s">
        <v>801</v>
      </c>
    </row>
    <row r="43" spans="2:9" x14ac:dyDescent="0.35">
      <c r="G43" s="201" t="s">
        <v>802</v>
      </c>
      <c r="H43" t="s">
        <v>803</v>
      </c>
    </row>
    <row r="44" spans="2:9" x14ac:dyDescent="0.35">
      <c r="G44" s="201" t="s">
        <v>804</v>
      </c>
      <c r="H44" t="s">
        <v>805</v>
      </c>
    </row>
    <row r="45" spans="2:9" x14ac:dyDescent="0.35">
      <c r="G45" s="1" t="s">
        <v>806</v>
      </c>
      <c r="H45" t="s">
        <v>807</v>
      </c>
    </row>
    <row r="46" spans="2:9" x14ac:dyDescent="0.35">
      <c r="I46" t="s">
        <v>808</v>
      </c>
    </row>
    <row r="47" spans="2:9" x14ac:dyDescent="0.35">
      <c r="G47" s="201" t="s">
        <v>809</v>
      </c>
      <c r="H47" t="s">
        <v>810</v>
      </c>
    </row>
    <row r="48" spans="2:9" x14ac:dyDescent="0.35">
      <c r="I48" t="s">
        <v>811</v>
      </c>
    </row>
    <row r="49" spans="2:20" x14ac:dyDescent="0.35">
      <c r="G49" s="201" t="s">
        <v>812</v>
      </c>
      <c r="H49" t="s">
        <v>813</v>
      </c>
    </row>
    <row r="50" spans="2:20" x14ac:dyDescent="0.35">
      <c r="D50" s="343" t="s">
        <v>814</v>
      </c>
      <c r="E50" s="332"/>
      <c r="F50" s="332"/>
      <c r="G50" s="332"/>
      <c r="H50" t="s">
        <v>815</v>
      </c>
    </row>
    <row r="51" spans="2:20" x14ac:dyDescent="0.35">
      <c r="D51" s="332"/>
      <c r="E51" s="332"/>
      <c r="F51" s="332"/>
      <c r="G51" s="332"/>
    </row>
    <row r="52" spans="2:20" x14ac:dyDescent="0.35">
      <c r="D52" s="332"/>
      <c r="E52" s="332"/>
      <c r="F52" s="332"/>
      <c r="G52" s="332"/>
    </row>
    <row r="54" spans="2:20" s="209" customFormat="1" ht="21" customHeight="1" x14ac:dyDescent="0.5">
      <c r="B54" s="208">
        <v>10</v>
      </c>
      <c r="C54" s="208" t="s">
        <v>816</v>
      </c>
    </row>
    <row r="55" spans="2:20" x14ac:dyDescent="0.35">
      <c r="D55" t="s">
        <v>817</v>
      </c>
    </row>
    <row r="56" spans="2:20" x14ac:dyDescent="0.35">
      <c r="D56" t="s">
        <v>818</v>
      </c>
    </row>
    <row r="57" spans="2:20" x14ac:dyDescent="0.35">
      <c r="F57" s="201" t="s">
        <v>819</v>
      </c>
      <c r="G57" t="s">
        <v>820</v>
      </c>
    </row>
    <row r="58" spans="2:20" x14ac:dyDescent="0.35">
      <c r="H58" t="s">
        <v>821</v>
      </c>
    </row>
    <row r="59" spans="2:20" x14ac:dyDescent="0.35">
      <c r="I59" t="s">
        <v>822</v>
      </c>
      <c r="N59" t="s">
        <v>823</v>
      </c>
    </row>
    <row r="60" spans="2:20" x14ac:dyDescent="0.35">
      <c r="I60" t="s">
        <v>824</v>
      </c>
      <c r="N60" t="s">
        <v>825</v>
      </c>
      <c r="T60" t="s">
        <v>826</v>
      </c>
    </row>
    <row r="61" spans="2:20" x14ac:dyDescent="0.35">
      <c r="I61" t="s">
        <v>827</v>
      </c>
      <c r="N61" t="s">
        <v>828</v>
      </c>
      <c r="T61" t="s">
        <v>826</v>
      </c>
    </row>
    <row r="62" spans="2:20" x14ac:dyDescent="0.35">
      <c r="N62" t="s">
        <v>829</v>
      </c>
    </row>
    <row r="63" spans="2:20" x14ac:dyDescent="0.35">
      <c r="F63" s="201" t="s">
        <v>830</v>
      </c>
      <c r="G63" t="s">
        <v>831</v>
      </c>
    </row>
    <row r="64" spans="2:20" x14ac:dyDescent="0.35">
      <c r="F64" s="201" t="s">
        <v>832</v>
      </c>
      <c r="G64" t="s">
        <v>833</v>
      </c>
    </row>
    <row r="65" spans="2:30" x14ac:dyDescent="0.35">
      <c r="H65" t="s">
        <v>834</v>
      </c>
    </row>
    <row r="66" spans="2:30" x14ac:dyDescent="0.35">
      <c r="I66" t="s">
        <v>835</v>
      </c>
    </row>
    <row r="67" spans="2:30" x14ac:dyDescent="0.35">
      <c r="G67" t="s">
        <v>836</v>
      </c>
    </row>
    <row r="68" spans="2:30" x14ac:dyDescent="0.35">
      <c r="F68" s="201" t="s">
        <v>837</v>
      </c>
      <c r="G68" t="s">
        <v>838</v>
      </c>
      <c r="AD68" t="s">
        <v>826</v>
      </c>
    </row>
    <row r="69" spans="2:30" x14ac:dyDescent="0.35">
      <c r="H69" t="s">
        <v>839</v>
      </c>
    </row>
    <row r="71" spans="2:30" s="209" customFormat="1" ht="21" customHeight="1" x14ac:dyDescent="0.5">
      <c r="B71" s="208">
        <v>11</v>
      </c>
      <c r="C71" s="208" t="s">
        <v>840</v>
      </c>
    </row>
    <row r="72" spans="2:30" x14ac:dyDescent="0.35">
      <c r="D72" t="s">
        <v>841</v>
      </c>
    </row>
    <row r="73" spans="2:30" x14ac:dyDescent="0.35">
      <c r="D73" t="s">
        <v>842</v>
      </c>
    </row>
    <row r="74" spans="2:30" x14ac:dyDescent="0.35">
      <c r="D74" t="s">
        <v>843</v>
      </c>
    </row>
    <row r="76" spans="2:30" s="209" customFormat="1" ht="21" customHeight="1" x14ac:dyDescent="0.5">
      <c r="B76" s="208">
        <v>12</v>
      </c>
      <c r="C76" s="208" t="s">
        <v>844</v>
      </c>
    </row>
    <row r="77" spans="2:30" x14ac:dyDescent="0.35">
      <c r="D77" t="s">
        <v>845</v>
      </c>
    </row>
    <row r="78" spans="2:30" x14ac:dyDescent="0.35">
      <c r="D78" t="s">
        <v>846</v>
      </c>
    </row>
    <row r="79" spans="2:30" x14ac:dyDescent="0.35">
      <c r="E79" s="201" t="s">
        <v>847</v>
      </c>
      <c r="F79" t="s">
        <v>848</v>
      </c>
    </row>
    <row r="80" spans="2:30" x14ac:dyDescent="0.35">
      <c r="G80" t="s">
        <v>849</v>
      </c>
    </row>
    <row r="81" spans="2:7" x14ac:dyDescent="0.35">
      <c r="G81" t="s">
        <v>850</v>
      </c>
    </row>
    <row r="82" spans="2:7" x14ac:dyDescent="0.35">
      <c r="E82" s="201" t="s">
        <v>851</v>
      </c>
      <c r="F82" t="s">
        <v>852</v>
      </c>
    </row>
    <row r="83" spans="2:7" x14ac:dyDescent="0.35">
      <c r="G83" t="s">
        <v>853</v>
      </c>
    </row>
    <row r="85" spans="2:7" s="209" customFormat="1" ht="21" customHeight="1" x14ac:dyDescent="0.5">
      <c r="B85" s="208">
        <v>13</v>
      </c>
      <c r="C85" s="208" t="s">
        <v>854</v>
      </c>
    </row>
    <row r="86" spans="2:7" x14ac:dyDescent="0.35">
      <c r="D86" t="s">
        <v>855</v>
      </c>
    </row>
    <row r="87" spans="2:7" x14ac:dyDescent="0.35">
      <c r="E87" s="201" t="s">
        <v>856</v>
      </c>
      <c r="F87" t="s">
        <v>857</v>
      </c>
    </row>
    <row r="88" spans="2:7" x14ac:dyDescent="0.35">
      <c r="E88" s="201"/>
      <c r="F88" t="s">
        <v>858</v>
      </c>
    </row>
    <row r="89" spans="2:7" x14ac:dyDescent="0.35">
      <c r="E89" s="201"/>
      <c r="F89" t="s">
        <v>859</v>
      </c>
    </row>
    <row r="90" spans="2:7" x14ac:dyDescent="0.35">
      <c r="E90" s="201"/>
      <c r="F90" t="s">
        <v>860</v>
      </c>
    </row>
    <row r="91" spans="2:7" x14ac:dyDescent="0.35">
      <c r="E91" s="201"/>
      <c r="F91" t="s">
        <v>861</v>
      </c>
    </row>
    <row r="92" spans="2:7" x14ac:dyDescent="0.35">
      <c r="E92" s="201" t="s">
        <v>862</v>
      </c>
      <c r="F92" t="s">
        <v>863</v>
      </c>
    </row>
    <row r="93" spans="2:7" x14ac:dyDescent="0.35">
      <c r="E93" s="201"/>
      <c r="F93" t="s">
        <v>864</v>
      </c>
    </row>
    <row r="94" spans="2:7" x14ac:dyDescent="0.35">
      <c r="E94" s="201" t="s">
        <v>865</v>
      </c>
      <c r="F94" t="s">
        <v>866</v>
      </c>
    </row>
    <row r="96" spans="2:7" s="209" customFormat="1" ht="21" customHeight="1" x14ac:dyDescent="0.5">
      <c r="B96" s="208">
        <v>14</v>
      </c>
      <c r="C96" s="208" t="s">
        <v>867</v>
      </c>
    </row>
    <row r="97" spans="2:6" x14ac:dyDescent="0.35">
      <c r="D97" t="s">
        <v>868</v>
      </c>
    </row>
    <row r="98" spans="2:6" x14ac:dyDescent="0.35">
      <c r="E98" s="201" t="s">
        <v>869</v>
      </c>
      <c r="F98" t="s">
        <v>870</v>
      </c>
    </row>
    <row r="99" spans="2:6" x14ac:dyDescent="0.35">
      <c r="E99" s="201" t="s">
        <v>871</v>
      </c>
      <c r="F99" t="s">
        <v>872</v>
      </c>
    </row>
    <row r="100" spans="2:6" x14ac:dyDescent="0.35">
      <c r="E100" s="201" t="s">
        <v>873</v>
      </c>
      <c r="F100" t="s">
        <v>874</v>
      </c>
    </row>
    <row r="101" spans="2:6" x14ac:dyDescent="0.35">
      <c r="E101" s="201" t="s">
        <v>875</v>
      </c>
      <c r="F101" t="s">
        <v>876</v>
      </c>
    </row>
    <row r="102" spans="2:6" x14ac:dyDescent="0.35">
      <c r="E102" s="201" t="s">
        <v>877</v>
      </c>
      <c r="F102" t="s">
        <v>878</v>
      </c>
    </row>
    <row r="104" spans="2:6" s="209" customFormat="1" ht="21" customHeight="1" x14ac:dyDescent="0.5">
      <c r="B104" s="208">
        <v>15</v>
      </c>
      <c r="C104" s="208" t="s">
        <v>879</v>
      </c>
    </row>
    <row r="105" spans="2:6" x14ac:dyDescent="0.35">
      <c r="D105" t="s">
        <v>880</v>
      </c>
    </row>
    <row r="106" spans="2:6" x14ac:dyDescent="0.35">
      <c r="D106" t="s">
        <v>881</v>
      </c>
    </row>
    <row r="108" spans="2:6" s="209" customFormat="1" ht="21" customHeight="1" x14ac:dyDescent="0.5">
      <c r="B108" s="208">
        <v>16</v>
      </c>
      <c r="C108" s="208" t="s">
        <v>882</v>
      </c>
    </row>
    <row r="109" spans="2:6" x14ac:dyDescent="0.35">
      <c r="D109" t="s">
        <v>883</v>
      </c>
    </row>
    <row r="110" spans="2:6" x14ac:dyDescent="0.35">
      <c r="D110" t="s">
        <v>884</v>
      </c>
    </row>
    <row r="111" spans="2:6" x14ac:dyDescent="0.35">
      <c r="D111" t="s">
        <v>885</v>
      </c>
    </row>
    <row r="114" spans="2:6" ht="18.5" customHeight="1" x14ac:dyDescent="0.45">
      <c r="B114" s="212" t="s">
        <v>886</v>
      </c>
    </row>
    <row r="116" spans="2:6" s="209" customFormat="1" ht="21" customHeight="1" x14ac:dyDescent="0.5">
      <c r="B116" s="207">
        <v>17</v>
      </c>
      <c r="C116" s="207" t="s">
        <v>887</v>
      </c>
    </row>
    <row r="117" spans="2:6" x14ac:dyDescent="0.35">
      <c r="D117" t="s">
        <v>888</v>
      </c>
    </row>
    <row r="118" spans="2:6" x14ac:dyDescent="0.35">
      <c r="E118" t="s">
        <v>889</v>
      </c>
    </row>
    <row r="119" spans="2:6" x14ac:dyDescent="0.35">
      <c r="E119" t="s">
        <v>890</v>
      </c>
    </row>
    <row r="120" spans="2:6" x14ac:dyDescent="0.35">
      <c r="E120" t="s">
        <v>891</v>
      </c>
    </row>
    <row r="121" spans="2:6" s="211" customFormat="1" x14ac:dyDescent="0.35">
      <c r="F121" t="s">
        <v>892</v>
      </c>
    </row>
    <row r="122" spans="2:6" s="211" customFormat="1" x14ac:dyDescent="0.35"/>
    <row r="123" spans="2:6" s="211" customFormat="1" x14ac:dyDescent="0.35">
      <c r="E123" t="s">
        <v>893</v>
      </c>
    </row>
    <row r="124" spans="2:6" s="211" customFormat="1" x14ac:dyDescent="0.35">
      <c r="F124" t="s">
        <v>894</v>
      </c>
    </row>
    <row r="125" spans="2:6" s="211" customFormat="1" x14ac:dyDescent="0.35">
      <c r="F125" t="s">
        <v>895</v>
      </c>
    </row>
    <row r="126" spans="2:6" x14ac:dyDescent="0.35">
      <c r="F126" t="s">
        <v>896</v>
      </c>
    </row>
    <row r="128" spans="2:6" s="209" customFormat="1" ht="21" customHeight="1" x14ac:dyDescent="0.5">
      <c r="B128" s="207">
        <v>18</v>
      </c>
      <c r="C128" s="207" t="s">
        <v>897</v>
      </c>
    </row>
    <row r="129" spans="2:4" x14ac:dyDescent="0.35">
      <c r="D129" t="s">
        <v>898</v>
      </c>
    </row>
    <row r="130" spans="2:4" x14ac:dyDescent="0.35">
      <c r="D130" t="s">
        <v>899</v>
      </c>
    </row>
    <row r="131" spans="2:4" x14ac:dyDescent="0.35">
      <c r="D131" t="s">
        <v>900</v>
      </c>
    </row>
    <row r="132" spans="2:4" x14ac:dyDescent="0.35">
      <c r="D132" t="s">
        <v>901</v>
      </c>
    </row>
    <row r="134" spans="2:4" s="209" customFormat="1" ht="21" customHeight="1" x14ac:dyDescent="0.5">
      <c r="B134" s="207">
        <v>19</v>
      </c>
      <c r="C134" s="207" t="s">
        <v>902</v>
      </c>
    </row>
    <row r="135" spans="2:4" x14ac:dyDescent="0.35">
      <c r="D135" t="s">
        <v>903</v>
      </c>
    </row>
    <row r="137" spans="2:4" s="209" customFormat="1" ht="21" customHeight="1" x14ac:dyDescent="0.5">
      <c r="B137" s="207">
        <v>20</v>
      </c>
      <c r="C137" s="207" t="s">
        <v>904</v>
      </c>
    </row>
    <row r="138" spans="2:4" x14ac:dyDescent="0.35">
      <c r="D138" t="s">
        <v>905</v>
      </c>
    </row>
    <row r="140" spans="2:4" s="209" customFormat="1" ht="21" customHeight="1" x14ac:dyDescent="0.5">
      <c r="B140" s="207">
        <v>21</v>
      </c>
      <c r="C140" s="207" t="s">
        <v>906</v>
      </c>
    </row>
    <row r="141" spans="2:4" x14ac:dyDescent="0.35">
      <c r="D141" t="s">
        <v>907</v>
      </c>
    </row>
    <row r="142" spans="2:4" x14ac:dyDescent="0.35">
      <c r="D142" t="s">
        <v>908</v>
      </c>
    </row>
    <row r="144" spans="2:4" s="209" customFormat="1" ht="21" customHeight="1" x14ac:dyDescent="0.5">
      <c r="B144" s="207">
        <v>22</v>
      </c>
      <c r="C144" s="207" t="s">
        <v>909</v>
      </c>
    </row>
    <row r="145" spans="2:4" x14ac:dyDescent="0.35">
      <c r="D145" t="s">
        <v>910</v>
      </c>
    </row>
    <row r="146" spans="2:4" x14ac:dyDescent="0.35">
      <c r="D146" t="s">
        <v>911</v>
      </c>
    </row>
    <row r="147" spans="2:4" x14ac:dyDescent="0.35">
      <c r="D147" t="s">
        <v>912</v>
      </c>
    </row>
    <row r="148" spans="2:4" x14ac:dyDescent="0.35">
      <c r="D148" t="s">
        <v>913</v>
      </c>
    </row>
    <row r="151" spans="2:4" ht="18.5" customHeight="1" x14ac:dyDescent="0.45">
      <c r="B151" s="212" t="s">
        <v>914</v>
      </c>
    </row>
    <row r="153" spans="2:4" s="209" customFormat="1" ht="21" customHeight="1" x14ac:dyDescent="0.5">
      <c r="B153" s="210">
        <v>23</v>
      </c>
      <c r="C153" s="210" t="s">
        <v>915</v>
      </c>
    </row>
    <row r="154" spans="2:4" x14ac:dyDescent="0.35">
      <c r="D154" t="s">
        <v>916</v>
      </c>
    </row>
    <row r="155" spans="2:4" x14ac:dyDescent="0.35">
      <c r="D155" t="s">
        <v>917</v>
      </c>
    </row>
    <row r="156" spans="2:4" x14ac:dyDescent="0.35">
      <c r="D156" t="s">
        <v>918</v>
      </c>
    </row>
    <row r="157" spans="2:4" x14ac:dyDescent="0.35">
      <c r="D157" t="s">
        <v>919</v>
      </c>
    </row>
    <row r="159" spans="2:4" s="209" customFormat="1" ht="21" customHeight="1" x14ac:dyDescent="0.5">
      <c r="B159" s="210">
        <v>24</v>
      </c>
      <c r="C159" s="210" t="s">
        <v>920</v>
      </c>
    </row>
    <row r="160" spans="2:4" x14ac:dyDescent="0.35">
      <c r="D160" t="s">
        <v>921</v>
      </c>
    </row>
    <row r="161" spans="2:4" x14ac:dyDescent="0.35">
      <c r="D161" t="s">
        <v>922</v>
      </c>
    </row>
    <row r="162" spans="2:4" x14ac:dyDescent="0.35">
      <c r="D162" t="s">
        <v>923</v>
      </c>
    </row>
    <row r="163" spans="2:4" x14ac:dyDescent="0.35">
      <c r="D163" t="s">
        <v>924</v>
      </c>
    </row>
    <row r="165" spans="2:4" s="209" customFormat="1" ht="21" customHeight="1" x14ac:dyDescent="0.5">
      <c r="B165" s="210">
        <v>25</v>
      </c>
      <c r="C165" s="210" t="s">
        <v>925</v>
      </c>
    </row>
    <row r="166" spans="2:4" x14ac:dyDescent="0.35">
      <c r="D166" t="s">
        <v>926</v>
      </c>
    </row>
    <row r="167" spans="2:4" x14ac:dyDescent="0.35">
      <c r="D167" t="s">
        <v>927</v>
      </c>
    </row>
    <row r="168" spans="2:4" x14ac:dyDescent="0.35">
      <c r="D168" t="s">
        <v>928</v>
      </c>
    </row>
    <row r="172" spans="2:4" ht="18.5" customHeight="1" x14ac:dyDescent="0.45">
      <c r="B172" s="212" t="s">
        <v>929</v>
      </c>
    </row>
    <row r="174" spans="2:4" s="209" customFormat="1" ht="21" customHeight="1" x14ac:dyDescent="0.5">
      <c r="B174" s="206">
        <v>26</v>
      </c>
      <c r="C174" s="206" t="s">
        <v>930</v>
      </c>
    </row>
    <row r="175" spans="2:4" x14ac:dyDescent="0.35">
      <c r="C175" t="s">
        <v>931</v>
      </c>
    </row>
  </sheetData>
  <mergeCells count="1">
    <mergeCell ref="D50:G52"/>
  </mergeCells>
  <pageMargins left="0.7" right="0.7" top="0.75" bottom="0.75" header="0.3" footer="0.3"/>
  <pageSetup orientation="portrait" horizontalDpi="4294967295" verticalDpi="429496729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Lists</vt:lpstr>
      <vt:lpstr>Estimation</vt:lpstr>
      <vt:lpstr>Schedule</vt:lpstr>
      <vt:lpstr>RoughWork</vt:lpstr>
      <vt:lpstr>Help</vt:lpstr>
      <vt:lpstr>FAQs</vt:lpstr>
      <vt:lpstr>ACTIVITY_RANGE</vt:lpstr>
      <vt:lpstr>AS_DEV_EFFORT</vt:lpstr>
      <vt:lpstr>AS_DURATION_EFFORT</vt:lpstr>
      <vt:lpstr>AS_MANUAL_DURATION_EFFORT</vt:lpstr>
      <vt:lpstr>AUTOMATED_END_DATE</vt:lpstr>
      <vt:lpstr>BUFFER_TYPES_LIST</vt:lpstr>
      <vt:lpstr>BUFFERS_BY_TYPE</vt:lpstr>
      <vt:lpstr>CHOSEN_CURRENCY</vt:lpstr>
      <vt:lpstr>CLIENT_NAME</vt:lpstr>
      <vt:lpstr>COMPACT_WBS</vt:lpstr>
      <vt:lpstr>COPY_TYPE</vt:lpstr>
      <vt:lpstr>CURRENCIES_LIST</vt:lpstr>
      <vt:lpstr>CUSTOM_PERCENT</vt:lpstr>
      <vt:lpstr>DESIGN_COST</vt:lpstr>
      <vt:lpstr>DESIGN_EFFORT</vt:lpstr>
      <vt:lpstr>DESIGN_RANGE</vt:lpstr>
      <vt:lpstr>DESIGN_TA_COUNT</vt:lpstr>
      <vt:lpstr>DESIGN_TA_PERCENT</vt:lpstr>
      <vt:lpstr>DEV_COST</vt:lpstr>
      <vt:lpstr>DEV_DEV_COUNT</vt:lpstr>
      <vt:lpstr>DEV_DEV_PERCENT</vt:lpstr>
      <vt:lpstr>DEV_EFFORT</vt:lpstr>
      <vt:lpstr>DEV_RANGE</vt:lpstr>
      <vt:lpstr>DURATION</vt:lpstr>
      <vt:lpstr>EXTRA_FOR_H</vt:lpstr>
      <vt:lpstr>EXTRAS_ARRAY</vt:lpstr>
      <vt:lpstr>EXTRAS_LIST</vt:lpstr>
      <vt:lpstr>FBS</vt:lpstr>
      <vt:lpstr>FBS_FORMAT</vt:lpstr>
      <vt:lpstr>FBS_INSERT_AT</vt:lpstr>
      <vt:lpstr>FBS_LINK</vt:lpstr>
      <vt:lpstr>FBS_RANGE</vt:lpstr>
      <vt:lpstr>FULL_WBS</vt:lpstr>
      <vt:lpstr>INCLUDE_OPTIONALS_LIST</vt:lpstr>
      <vt:lpstr>IS_KEY_OPP</vt:lpstr>
      <vt:lpstr>LESS_FOR_L</vt:lpstr>
      <vt:lpstr>MANUAL_DURATION</vt:lpstr>
      <vt:lpstr>MANUAL_END_DATE</vt:lpstr>
      <vt:lpstr>MAX_EFFORT_PERCENT</vt:lpstr>
      <vt:lpstr>MIN_EFFORT_PERCENT</vt:lpstr>
      <vt:lpstr>MODULE_RANGE</vt:lpstr>
      <vt:lpstr>NOT_IN_COMPACT</vt:lpstr>
      <vt:lpstr>OTHER_COST</vt:lpstr>
      <vt:lpstr>OTHER_EFFORT</vt:lpstr>
      <vt:lpstr>OTHER_TL_COUNT</vt:lpstr>
      <vt:lpstr>OTHER_TL_PERCENT</vt:lpstr>
      <vt:lpstr>OTHERS_RANGE</vt:lpstr>
      <vt:lpstr>PLATFORM</vt:lpstr>
      <vt:lpstr>PLATFORMS_LIST</vt:lpstr>
      <vt:lpstr>Estimation!Print_Area</vt:lpstr>
      <vt:lpstr>PROJECT_NAME</vt:lpstr>
      <vt:lpstr>PROJECT_TYPE</vt:lpstr>
      <vt:lpstr>PROJECT_TYPES_LIST</vt:lpstr>
      <vt:lpstr>QA_COST</vt:lpstr>
      <vt:lpstr>QA_EFFORT</vt:lpstr>
      <vt:lpstr>QA_RANGE</vt:lpstr>
      <vt:lpstr>REGIONS_LIST</vt:lpstr>
      <vt:lpstr>REQ_BA_COUNT</vt:lpstr>
      <vt:lpstr>REQ_BA_PERCENT</vt:lpstr>
      <vt:lpstr>REQ_COST</vt:lpstr>
      <vt:lpstr>REQ_EFFORT</vt:lpstr>
      <vt:lpstr>REQ_RANGE</vt:lpstr>
      <vt:lpstr>RFP_NAME</vt:lpstr>
      <vt:lpstr>ROLES_LIST</vt:lpstr>
      <vt:lpstr>SALES_CALL_SCALE_ARRAY</vt:lpstr>
      <vt:lpstr>SALES_CALL_SCALE_LIST</vt:lpstr>
      <vt:lpstr>SALES_DECISION_TABLE</vt:lpstr>
      <vt:lpstr>SECTION_RANGE</vt:lpstr>
      <vt:lpstr>START_DATE</vt:lpstr>
      <vt:lpstr>TASK_RANGE</vt:lpstr>
      <vt:lpstr>TEMPLATE_NAME</vt:lpstr>
      <vt:lpstr>TEMPLATE_SECTION</vt:lpstr>
      <vt:lpstr>TEMPLATE_VER</vt:lpstr>
      <vt:lpstr>TESTING_QA_COUNT</vt:lpstr>
      <vt:lpstr>TESTING_QA_PERCENT</vt:lpstr>
      <vt:lpstr>TOTAL_COST</vt:lpstr>
      <vt:lpstr>TOTAL_EFFORT</vt:lpstr>
      <vt:lpstr>Total_FRs</vt:lpstr>
      <vt:lpstr>Total_Test_Cases</vt:lpstr>
      <vt:lpstr>Total_Use_Cases</vt:lpstr>
      <vt:lpstr>TOTAL_WEEKS</vt:lpstr>
      <vt:lpstr>UAT_COST</vt:lpstr>
      <vt:lpstr>UAT_DEV_COUNT</vt:lpstr>
      <vt:lpstr>UAT_DEV_PERCENT</vt:lpstr>
      <vt:lpstr>UAT_EFFORT</vt:lpstr>
      <vt:lpstr>UAT_RANGE</vt:lpstr>
      <vt:lpstr>YES_NO_LIST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Template</dc:title>
  <dc:creator>Manjeet Rana</dc:creator>
  <cp:lastModifiedBy>Manjeet Rana</cp:lastModifiedBy>
  <cp:lastPrinted>2015-06-17T10:58:29Z</cp:lastPrinted>
  <dcterms:created xsi:type="dcterms:W3CDTF">2013-10-21T05:49:27Z</dcterms:created>
  <dcterms:modified xsi:type="dcterms:W3CDTF">2026-03-16T17:17:43Z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0x01010042D37EA284E13942B467171D07EA769900DF6D81BBF89D0D4DA19794E72F57D948</vt:lpwstr>
  </property>
  <property fmtid="{D5CDD505-2E9C-101B-9397-08002B2CF9AE}" pid="3" name="Description0">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4" name="TaxKeyword">
    <vt:lpwstr/>
  </property>
  <property fmtid="{D5CDD505-2E9C-101B-9397-08002B2CF9AE}" pid="5" name="DocDescription">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6" name="TaxCatchAll">
    <vt:lpwstr/>
  </property>
  <property fmtid="{D5CDD505-2E9C-101B-9397-08002B2CF9AE}" pid="7" name="SharedWithUsers">
    <vt:lpwstr>31;#Ridhi Jain;#32;#All Users (membership)</vt:lpwstr>
  </property>
</Properties>
</file>